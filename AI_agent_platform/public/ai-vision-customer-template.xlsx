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codeName="ThisWorkbook" defaultThemeVersion="124226"/>
  <bookViews>
    <workbookView xWindow="590" yWindow="-170" windowWidth="9720" windowHeight="9170"/>
  </bookViews>
  <sheets>
    <sheet name="計測統計" sheetId="1" r:id="rId1"/>
    <sheet name="DATA" sheetId="2" r:id="rId2"/>
    <sheet name="更新履歷" sheetId="3" state="hidden" r:id="rId3"/>
    <sheet name="異常圖片" sheetId="4" state="hidden" r:id="rId4"/>
  </sheets>
  <definedNames>
    <definedName name="_xlnm._FilterDatabase" localSheetId="0" hidden="1">計測統計!$B$25:$T$25</definedName>
    <definedName name="_xlnm.Print_Area" localSheetId="0">計測統計!$B$1:$T$78</definedName>
    <definedName name="_xlnm.Print_Titles" localSheetId="0">計測統計!$25:$25</definedName>
  </definedNames>
  <calcPr calcId="145621"/>
</workbook>
</file>

<file path=xl/calcChain.xml><?xml version="1.0" encoding="utf-8"?>
<calcChain xmlns="http://schemas.openxmlformats.org/spreadsheetml/2006/main">
  <c r="P66" i="1" l="1"/>
  <c r="P70" i="1"/>
  <c r="P71" i="1"/>
  <c r="P72" i="1"/>
  <c r="P57" i="1"/>
  <c r="P58" i="1"/>
  <c r="P59" i="1"/>
  <c r="P60" i="1"/>
  <c r="P61" i="1"/>
  <c r="P62" i="1"/>
  <c r="P63" i="1"/>
  <c r="P43" i="1"/>
  <c r="P46" i="1"/>
  <c r="P47" i="1"/>
  <c r="K45" i="1" l="1"/>
  <c r="P45" i="1" s="1"/>
  <c r="K36" i="1"/>
  <c r="L36" i="1" s="1"/>
  <c r="K37" i="1"/>
  <c r="P37" i="1" s="1"/>
  <c r="K31" i="1"/>
  <c r="P31" i="1" s="1"/>
  <c r="K30" i="1"/>
  <c r="P30" i="1" s="1"/>
  <c r="L45" i="1" l="1"/>
  <c r="P36" i="1"/>
  <c r="L37" i="1"/>
  <c r="L30" i="1"/>
  <c r="L31" i="1"/>
  <c r="K41" i="1"/>
  <c r="P41" i="1" s="1"/>
  <c r="K39" i="1"/>
  <c r="P39" i="1" s="1"/>
  <c r="L41" i="1" l="1"/>
  <c r="L39" i="1"/>
  <c r="A3" i="2" l="1"/>
  <c r="K76" i="1"/>
  <c r="P76" i="1" s="1"/>
  <c r="K77" i="1"/>
  <c r="P77" i="1" s="1"/>
  <c r="K28" i="1"/>
  <c r="P28" i="1" s="1"/>
  <c r="K34" i="1"/>
  <c r="P34" i="1" s="1"/>
  <c r="K35" i="1"/>
  <c r="P35" i="1" s="1"/>
  <c r="K40" i="1"/>
  <c r="P40" i="1" s="1"/>
  <c r="K48" i="1"/>
  <c r="P48" i="1" s="1"/>
  <c r="K49" i="1"/>
  <c r="P49" i="1" s="1"/>
  <c r="K50" i="1"/>
  <c r="P50" i="1" s="1"/>
  <c r="K55" i="1"/>
  <c r="P55" i="1" s="1"/>
  <c r="K56" i="1"/>
  <c r="P56" i="1" s="1"/>
  <c r="K67" i="1"/>
  <c r="P67" i="1" s="1"/>
  <c r="K65" i="1" l="1"/>
  <c r="P65" i="1" s="1"/>
  <c r="K51" i="1"/>
  <c r="P51" i="1" s="1"/>
  <c r="K38" i="1"/>
  <c r="P38" i="1" s="1"/>
  <c r="K27" i="1"/>
  <c r="P27" i="1" s="1"/>
  <c r="K64" i="1"/>
  <c r="P64" i="1" s="1"/>
  <c r="K78" i="1"/>
  <c r="P78" i="1" s="1"/>
  <c r="K73" i="1"/>
  <c r="P73" i="1" s="1"/>
  <c r="K54" i="1"/>
  <c r="P54" i="1" s="1"/>
  <c r="K44" i="1"/>
  <c r="P44" i="1" s="1"/>
  <c r="K33" i="1"/>
  <c r="P33" i="1" s="1"/>
  <c r="K75" i="1"/>
  <c r="P75" i="1" s="1"/>
  <c r="K26" i="1"/>
  <c r="P26" i="1" s="1"/>
  <c r="K69" i="1"/>
  <c r="P69" i="1" s="1"/>
  <c r="K53" i="1"/>
  <c r="P53" i="1" s="1"/>
  <c r="K32" i="1"/>
  <c r="P32" i="1" s="1"/>
  <c r="K74" i="1"/>
  <c r="P74" i="1" s="1"/>
  <c r="K68" i="1"/>
  <c r="P68" i="1" s="1"/>
  <c r="K52" i="1"/>
  <c r="P52" i="1" s="1"/>
  <c r="K42" i="1"/>
  <c r="P42" i="1" s="1"/>
  <c r="K29" i="1"/>
  <c r="P29" i="1" s="1"/>
  <c r="A2" i="2"/>
  <c r="A6" i="1" l="1"/>
  <c r="A52" i="2" l="1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18" i="2" l="1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4" i="2" l="1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L69" i="1" l="1"/>
  <c r="L65" i="1"/>
  <c r="L68" i="1"/>
  <c r="L73" i="1"/>
  <c r="L67" i="1"/>
  <c r="L42" i="1"/>
  <c r="L28" i="1"/>
  <c r="L26" i="1"/>
  <c r="L44" i="1"/>
  <c r="L52" i="1"/>
  <c r="L54" i="1"/>
  <c r="L49" i="1"/>
  <c r="L38" i="1"/>
  <c r="L34" i="1"/>
  <c r="L32" i="1"/>
  <c r="L56" i="1"/>
  <c r="L64" i="1"/>
  <c r="L55" i="1"/>
  <c r="L75" i="1"/>
  <c r="L33" i="1"/>
  <c r="L77" i="1"/>
  <c r="L51" i="1"/>
  <c r="L78" i="1"/>
  <c r="L53" i="1"/>
  <c r="L48" i="1"/>
  <c r="L29" i="1"/>
  <c r="L74" i="1"/>
  <c r="L35" i="1"/>
  <c r="L50" i="1"/>
  <c r="L27" i="1"/>
  <c r="L76" i="1"/>
  <c r="L40" i="1"/>
  <c r="E7" i="1" l="1"/>
  <c r="E9" i="1"/>
  <c r="E8" i="1"/>
  <c r="E5" i="1" l="1"/>
  <c r="E6" i="1" s="1"/>
</calcChain>
</file>

<file path=xl/sharedStrings.xml><?xml version="1.0" encoding="utf-8"?>
<sst xmlns="http://schemas.openxmlformats.org/spreadsheetml/2006/main" count="505" uniqueCount="217">
  <si>
    <t>檢點</t>
    <phoneticPr fontId="1" type="noConversion"/>
  </si>
  <si>
    <t>判定</t>
    <phoneticPr fontId="1" type="noConversion"/>
  </si>
  <si>
    <t>檢驗標準(單位mm)</t>
    <phoneticPr fontId="1" type="noConversion"/>
  </si>
  <si>
    <t>製程</t>
    <phoneticPr fontId="1" type="noConversion"/>
  </si>
  <si>
    <t>FeatureType</t>
  </si>
  <si>
    <t>FeatureLabel</t>
  </si>
  <si>
    <t>FeatureID</t>
  </si>
  <si>
    <t>OutputItem</t>
  </si>
  <si>
    <t>Actual</t>
  </si>
  <si>
    <t>Nominal</t>
  </si>
  <si>
    <t>Deviation</t>
  </si>
  <si>
    <t>UpperTol</t>
  </si>
  <si>
    <t>LowerTol</t>
  </si>
  <si>
    <t>PassFail</t>
  </si>
  <si>
    <t>手動量測</t>
    <phoneticPr fontId="1" type="noConversion"/>
  </si>
  <si>
    <t>\  /</t>
  </si>
  <si>
    <t>刻字</t>
  </si>
  <si>
    <t>#</t>
  </si>
  <si>
    <t>D.P.</t>
  </si>
  <si>
    <t>單位</t>
    <phoneticPr fontId="1" type="noConversion"/>
  </si>
  <si>
    <t>公差</t>
    <phoneticPr fontId="1" type="noConversion"/>
  </si>
  <si>
    <t>項次</t>
    <phoneticPr fontId="1" type="noConversion"/>
  </si>
  <si>
    <t>更新履歷</t>
    <phoneticPr fontId="1" type="noConversion"/>
  </si>
  <si>
    <t>更新內容</t>
    <phoneticPr fontId="1" type="noConversion"/>
  </si>
  <si>
    <t>更新日期</t>
    <phoneticPr fontId="1" type="noConversion"/>
  </si>
  <si>
    <t>更新人</t>
    <phoneticPr fontId="1" type="noConversion"/>
  </si>
  <si>
    <t>褚宏淯</t>
    <phoneticPr fontId="1" type="noConversion"/>
  </si>
  <si>
    <t>數位量測電子檔建立，做為數位設備導入時，自動計算數據的範本</t>
    <phoneticPr fontId="1" type="noConversion"/>
  </si>
  <si>
    <t>1.新增單位、公差的下拉式選單，加快建置表單時的速度
2.建立DATA活頁，可將自動2.5D量測數據倒入，資料整合彙整時可以使用</t>
    <phoneticPr fontId="1" type="noConversion"/>
  </si>
  <si>
    <t>於判定列N、P、R的函數，新增OR指令，修正輸入文字NG時，函數無反應跳錯的現象。</t>
    <phoneticPr fontId="1" type="noConversion"/>
  </si>
  <si>
    <r>
      <t>已完成的檔案，將同步進行下列修正:
1.移除自動2.5D的判定，重新撰寫程式，使自動量測&amp;手動量測共用一個判定。
2.重新編排刻字的驗證方式，人員完整輸入工件刻字，確認是否相符
3.重新調整D.P.的公差設定，正常工差為</t>
    </r>
    <r>
      <rPr>
        <sz val="12"/>
        <color theme="1"/>
        <rFont val="細明體"/>
        <family val="3"/>
        <charset val="136"/>
      </rPr>
      <t>±</t>
    </r>
    <r>
      <rPr>
        <sz val="12"/>
        <color theme="1"/>
        <rFont val="新細明體"/>
        <family val="1"/>
        <charset val="136"/>
      </rPr>
      <t>0.2mm，只深不淺的公差該為+0.5/-0mm</t>
    </r>
    <phoneticPr fontId="1" type="noConversion"/>
  </si>
  <si>
    <t>覆檢</t>
    <phoneticPr fontId="1" type="noConversion"/>
  </si>
  <si>
    <t>檢驗特採</t>
    <phoneticPr fontId="1" type="noConversion"/>
  </si>
  <si>
    <t>檢驗合格</t>
    <phoneticPr fontId="1" type="noConversion"/>
  </si>
  <si>
    <t>檢驗異常</t>
    <phoneticPr fontId="1" type="noConversion"/>
  </si>
  <si>
    <t>自動2.5D設備數據</t>
    <phoneticPr fontId="1" type="noConversion"/>
  </si>
  <si>
    <t>檢驗備註
組長特採</t>
    <phoneticPr fontId="1" type="noConversion"/>
  </si>
  <si>
    <t>為提醒生產加工需調機，調整函數及版面格式對應:
1. 判定由3列改為1列，減少人員判定看錯的風險
2. 增加再複驗欄位，避免第2次調機複檢，沒有地方填寫
3. 判定的地方修改反饋內容，由”OK”，”NG”調整如下
→合格:尺寸符合規範，不用進行調整
→異常:尺寸超出規範，要進行調整
→特採:尺寸合格，但已接近標準差的極限，請組長確認是否進行調整
→待驗:尺寸沒有檢驗，請進行檢驗確認
4. 加大檢驗備註，組長特採欄位，方便人員記錄異常，及組長簽名</t>
    <phoneticPr fontId="1" type="noConversion"/>
  </si>
  <si>
    <t>-</t>
    <phoneticPr fontId="1" type="noConversion"/>
  </si>
  <si>
    <t>機台號碼</t>
    <phoneticPr fontId="1" type="noConversion"/>
  </si>
  <si>
    <t>工單號碼</t>
    <phoneticPr fontId="1" type="noConversion"/>
  </si>
  <si>
    <t>檢驗員</t>
    <phoneticPr fontId="1" type="noConversion"/>
  </si>
  <si>
    <t>檢驗類別</t>
    <phoneticPr fontId="1" type="noConversion"/>
  </si>
  <si>
    <t>檢驗日期</t>
    <phoneticPr fontId="1" type="noConversion"/>
  </si>
  <si>
    <t>首件</t>
    <phoneticPr fontId="1" type="noConversion"/>
  </si>
  <si>
    <t>巡檢</t>
    <phoneticPr fontId="1" type="noConversion"/>
  </si>
  <si>
    <t>V</t>
    <phoneticPr fontId="1" type="noConversion"/>
  </si>
  <si>
    <t>去牙</t>
    <phoneticPr fontId="1" type="noConversion"/>
  </si>
  <si>
    <t>攻牙</t>
    <phoneticPr fontId="1" type="noConversion"/>
  </si>
  <si>
    <t>植牙套</t>
    <phoneticPr fontId="1" type="noConversion"/>
  </si>
  <si>
    <t>重工</t>
    <phoneticPr fontId="1" type="noConversion"/>
  </si>
  <si>
    <t>LOAD</t>
    <phoneticPr fontId="1" type="noConversion"/>
  </si>
  <si>
    <t>面銑/見光</t>
    <phoneticPr fontId="1" type="noConversion"/>
  </si>
  <si>
    <t>+</t>
  </si>
  <si>
    <t>-</t>
  </si>
  <si>
    <r>
      <t>1.修正P列，函數判斷錯誤，輸入"NG"不會判定</t>
    </r>
    <r>
      <rPr>
        <b/>
        <sz val="12"/>
        <color rgb="FFFF0000"/>
        <rFont val="新細明體"/>
        <family val="1"/>
        <charset val="136"/>
        <scheme val="minor"/>
      </rPr>
      <t xml:space="preserve">異常
</t>
    </r>
    <r>
      <rPr>
        <sz val="12"/>
        <rFont val="新細明體"/>
        <family val="1"/>
        <charset val="136"/>
        <scheme val="minor"/>
      </rPr>
      <t>2.取消P列"</t>
    </r>
    <r>
      <rPr>
        <b/>
        <sz val="12"/>
        <color rgb="FF0000CC"/>
        <rFont val="新細明體"/>
        <family val="1"/>
        <charset val="136"/>
        <scheme val="minor"/>
      </rPr>
      <t>合格</t>
    </r>
    <r>
      <rPr>
        <sz val="12"/>
        <rFont val="新細明體"/>
        <family val="1"/>
        <charset val="136"/>
        <scheme val="minor"/>
      </rPr>
      <t>"的底色填滿，避免列印紙本給組長時，跟"</t>
    </r>
    <r>
      <rPr>
        <b/>
        <sz val="12"/>
        <color rgb="FFFF0000"/>
        <rFont val="新細明體"/>
        <family val="1"/>
        <charset val="136"/>
        <scheme val="minor"/>
      </rPr>
      <t>異常</t>
    </r>
    <r>
      <rPr>
        <sz val="12"/>
        <rFont val="新細明體"/>
        <family val="1"/>
        <charset val="136"/>
        <scheme val="minor"/>
      </rPr>
      <t>"相同的呈現方式，不易辨別。
3.將L、P列的函數，由原本47個增加到100個，避免新增數位量測程式時，函數不足人員不會自行新增。</t>
    </r>
    <phoneticPr fontId="1" type="noConversion"/>
  </si>
  <si>
    <t>-</t>
    <phoneticPr fontId="1" type="noConversion"/>
  </si>
  <si>
    <t>檢驗製程</t>
  </si>
  <si>
    <t>幹部確認</t>
    <phoneticPr fontId="1" type="noConversion"/>
  </si>
  <si>
    <t>※若內背一起加工，輸入OK</t>
    <phoneticPr fontId="1" type="noConversion"/>
  </si>
  <si>
    <t>編輯:</t>
    <phoneticPr fontId="1" type="noConversion"/>
  </si>
  <si>
    <t>日期:</t>
    <phoneticPr fontId="1" type="noConversion"/>
  </si>
  <si>
    <t>確認</t>
    <phoneticPr fontId="1" type="noConversion"/>
  </si>
  <si>
    <t>8</t>
  </si>
  <si>
    <t>10</t>
  </si>
  <si>
    <t>料號</t>
    <phoneticPr fontId="1" type="noConversion"/>
  </si>
  <si>
    <t>總檢驗數</t>
    <phoneticPr fontId="1" type="noConversion"/>
  </si>
  <si>
    <t>未完檢驗數</t>
    <phoneticPr fontId="1" type="noConversion"/>
  </si>
  <si>
    <t>099</t>
    <phoneticPr fontId="1" type="noConversion"/>
  </si>
  <si>
    <t>99-1</t>
  </si>
  <si>
    <t>開口不可有毛邊</t>
  </si>
  <si>
    <t>99-2</t>
  </si>
  <si>
    <t>外型不可有黑痕</t>
  </si>
  <si>
    <t>99-3</t>
  </si>
  <si>
    <t>牙孔不可有火山口</t>
  </si>
  <si>
    <t>99-4</t>
  </si>
  <si>
    <t>孔不可有凸起</t>
  </si>
  <si>
    <t>99-5</t>
  </si>
  <si>
    <t>不可有段差</t>
  </si>
  <si>
    <t>3</t>
  </si>
  <si>
    <t>4</t>
  </si>
  <si>
    <t>5</t>
  </si>
  <si>
    <t>6</t>
  </si>
  <si>
    <t>7</t>
  </si>
  <si>
    <t>9</t>
  </si>
  <si>
    <t>11</t>
  </si>
  <si>
    <t>12</t>
  </si>
  <si>
    <t>19</t>
  </si>
  <si>
    <t>20</t>
  </si>
  <si>
    <t>24</t>
  </si>
  <si>
    <t>1</t>
  </si>
  <si>
    <t>2</t>
  </si>
  <si>
    <t>跳回</t>
    <phoneticPr fontId="1" type="noConversion"/>
  </si>
  <si>
    <t>計測統計!A1</t>
  </si>
  <si>
    <t>25</t>
  </si>
  <si>
    <t>26</t>
  </si>
  <si>
    <t>27</t>
  </si>
  <si>
    <t>28</t>
  </si>
  <si>
    <t>29</t>
  </si>
  <si>
    <t>30</t>
  </si>
  <si>
    <t>品質檢驗紀錄</t>
    <phoneticPr fontId="1" type="noConversion"/>
  </si>
  <si>
    <t>Ø</t>
  </si>
  <si>
    <t>距離</t>
  </si>
  <si>
    <t>深度</t>
  </si>
  <si>
    <t>厚度</t>
  </si>
  <si>
    <t>外型</t>
  </si>
  <si>
    <t>X</t>
  </si>
  <si>
    <t>Y</t>
  </si>
  <si>
    <t>平面</t>
  </si>
  <si>
    <t>對稱</t>
  </si>
  <si>
    <t>粗糙</t>
  </si>
  <si>
    <t>C</t>
  </si>
  <si>
    <t>◎</t>
  </si>
  <si>
    <t>⊕</t>
  </si>
  <si>
    <t>R</t>
  </si>
  <si>
    <t>Z</t>
  </si>
  <si>
    <t>M</t>
  </si>
  <si>
    <t>度</t>
  </si>
  <si>
    <t>牙深</t>
  </si>
  <si>
    <t>孔深</t>
  </si>
  <si>
    <t>輪廓度</t>
  </si>
  <si>
    <t>—</t>
  </si>
  <si>
    <t>高度規</t>
  </si>
  <si>
    <t>三次元</t>
  </si>
  <si>
    <t>目視</t>
  </si>
  <si>
    <t>分厘卡</t>
  </si>
  <si>
    <t>銷規</t>
    <phoneticPr fontId="1" type="noConversion"/>
  </si>
  <si>
    <t>瞬檢機</t>
    <phoneticPr fontId="1" type="noConversion"/>
  </si>
  <si>
    <t xml:space="preserve">遊標卡尺 </t>
  </si>
  <si>
    <t>R角規</t>
  </si>
  <si>
    <t>螺紋塞規</t>
  </si>
  <si>
    <t>2.5D影像量測儀</t>
  </si>
  <si>
    <t>表面粗糙度測定儀</t>
  </si>
  <si>
    <t>厚薄規</t>
    <phoneticPr fontId="1" type="noConversion"/>
  </si>
  <si>
    <t>⊥ </t>
  </si>
  <si>
    <t>加工圖</t>
  </si>
  <si>
    <t>檢規</t>
  </si>
  <si>
    <t>001</t>
    <phoneticPr fontId="1" type="noConversion"/>
  </si>
  <si>
    <t>002</t>
    <phoneticPr fontId="1" type="noConversion"/>
  </si>
  <si>
    <t>003</t>
    <phoneticPr fontId="1" type="noConversion"/>
  </si>
  <si>
    <t>004</t>
    <phoneticPr fontId="1" type="noConversion"/>
  </si>
  <si>
    <t>005</t>
    <phoneticPr fontId="1" type="noConversion"/>
  </si>
  <si>
    <t>006</t>
    <phoneticPr fontId="1" type="noConversion"/>
  </si>
  <si>
    <t>007</t>
    <phoneticPr fontId="1" type="noConversion"/>
  </si>
  <si>
    <t>008</t>
    <phoneticPr fontId="1" type="noConversion"/>
  </si>
  <si>
    <t>001</t>
    <phoneticPr fontId="1" type="noConversion"/>
  </si>
  <si>
    <t>THRU</t>
    <phoneticPr fontId="1" type="noConversion"/>
  </si>
  <si>
    <t>8X1.25</t>
    <phoneticPr fontId="1" type="noConversion"/>
  </si>
  <si>
    <t>002</t>
    <phoneticPr fontId="1" type="noConversion"/>
  </si>
  <si>
    <t>Ø</t>
    <phoneticPr fontId="1" type="noConversion"/>
  </si>
  <si>
    <t>#</t>
    <phoneticPr fontId="1" type="noConversion"/>
  </si>
  <si>
    <t>4-40 UNJC-3B</t>
    <phoneticPr fontId="1" type="noConversion"/>
  </si>
  <si>
    <t>檢查不可破孔</t>
    <phoneticPr fontId="1" type="noConversion"/>
  </si>
  <si>
    <t>蔡玉婷</t>
  </si>
  <si>
    <t>儀器</t>
  </si>
  <si>
    <t>再覆檢</t>
    <phoneticPr fontId="1" type="noConversion"/>
  </si>
  <si>
    <t>MARCO</t>
  </si>
  <si>
    <t>EFGP</t>
  </si>
  <si>
    <t>RD暫存區</t>
  </si>
  <si>
    <t>804LY0241001B0</t>
    <phoneticPr fontId="1" type="noConversion"/>
  </si>
  <si>
    <t>13</t>
    <phoneticPr fontId="1" type="noConversion"/>
  </si>
  <si>
    <t>009</t>
  </si>
  <si>
    <t>010</t>
  </si>
  <si>
    <t>高度</t>
  </si>
  <si>
    <t>高度</t>
    <phoneticPr fontId="1" type="noConversion"/>
  </si>
  <si>
    <t>6.0GO/6.03NOGO</t>
    <phoneticPr fontId="1" type="noConversion"/>
  </si>
  <si>
    <t>9</t>
    <phoneticPr fontId="1" type="noConversion"/>
  </si>
  <si>
    <t>銷規</t>
  </si>
  <si>
    <t>5</t>
    <phoneticPr fontId="1" type="noConversion"/>
  </si>
  <si>
    <t>15</t>
    <phoneticPr fontId="1" type="noConversion"/>
  </si>
  <si>
    <t>33</t>
  </si>
  <si>
    <t>34</t>
  </si>
  <si>
    <t>35</t>
  </si>
  <si>
    <t>36</t>
  </si>
  <si>
    <t>37</t>
  </si>
  <si>
    <t>38</t>
  </si>
  <si>
    <t>39</t>
  </si>
  <si>
    <t>40</t>
  </si>
  <si>
    <t>16</t>
    <phoneticPr fontId="1" type="noConversion"/>
  </si>
  <si>
    <t>17</t>
    <phoneticPr fontId="1" type="noConversion"/>
  </si>
  <si>
    <t>18</t>
    <phoneticPr fontId="1" type="noConversion"/>
  </si>
  <si>
    <t>20</t>
    <phoneticPr fontId="1" type="noConversion"/>
  </si>
  <si>
    <t>THRU</t>
  </si>
  <si>
    <t>30</t>
    <phoneticPr fontId="1" type="noConversion"/>
  </si>
  <si>
    <t>31</t>
    <phoneticPr fontId="1" type="noConversion"/>
  </si>
  <si>
    <t>32</t>
    <phoneticPr fontId="1" type="noConversion"/>
  </si>
  <si>
    <t>22</t>
    <phoneticPr fontId="1" type="noConversion"/>
  </si>
  <si>
    <t>23</t>
    <phoneticPr fontId="1" type="noConversion"/>
  </si>
  <si>
    <t>21</t>
    <phoneticPr fontId="1" type="noConversion"/>
  </si>
  <si>
    <t>工號</t>
    <phoneticPr fontId="1" type="noConversion"/>
  </si>
  <si>
    <t>品檢員</t>
    <phoneticPr fontId="1" type="noConversion"/>
  </si>
  <si>
    <t>徐澤美</t>
  </si>
  <si>
    <t>洪士偉</t>
  </si>
  <si>
    <t>林銘坤</t>
  </si>
  <si>
    <t>林嘉宏</t>
  </si>
  <si>
    <t>簡凱帆</t>
  </si>
  <si>
    <t>陳思明</t>
  </si>
  <si>
    <t>蘇桑托</t>
  </si>
  <si>
    <t>里瓦多</t>
  </si>
  <si>
    <t>艾古</t>
  </si>
  <si>
    <t>賽多</t>
  </si>
  <si>
    <t>文廷炳</t>
  </si>
  <si>
    <t>安瓦</t>
  </si>
  <si>
    <t>亨奇</t>
  </si>
  <si>
    <t>黎庭光</t>
  </si>
  <si>
    <t>李佳駿</t>
  </si>
  <si>
    <t>蘇玉美</t>
  </si>
  <si>
    <t>倪震皓</t>
  </si>
  <si>
    <t>趙茹涵</t>
  </si>
  <si>
    <t>李楨儀</t>
  </si>
  <si>
    <t>王健宇</t>
  </si>
  <si>
    <t>謝博安</t>
  </si>
  <si>
    <t>莊志南</t>
  </si>
  <si>
    <t>張耀隆</t>
  </si>
  <si>
    <t>余楷祥</t>
  </si>
  <si>
    <t>洪國信</t>
  </si>
  <si>
    <t>泰沙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</si>
</sst>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_-;\-* #,##0.00_-;_-* &quot;-&quot;??_-;_-@_-"/>
    <numFmt numFmtId="176" formatCode="0.000"/>
    <numFmt numFmtId="177" formatCode="&quot;MB&quot;00"/>
    <numFmt numFmtId="178" formatCode="m&quot;月&quot;d&quot;日&quot;"/>
    <numFmt numFmtId="179" formatCode="_-* #,##0.0000_-;\-* #,##0.0000_-;_-* &quot;-&quot;??_-;_-@_-"/>
  </numFmts>
  <fonts count="22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u/>
      <sz val="12"/>
      <color theme="10"/>
      <name val="新細明體"/>
      <family val="2"/>
      <scheme val="minor"/>
    </font>
    <font>
      <sz val="12"/>
      <color theme="1"/>
      <name val="新細明體"/>
      <family val="2"/>
      <scheme val="minor"/>
    </font>
    <font>
      <sz val="12"/>
      <color theme="1"/>
      <name val="細明體"/>
      <family val="3"/>
      <charset val="136"/>
    </font>
    <font>
      <sz val="12"/>
      <color theme="1"/>
      <name val="新細明體"/>
      <family val="1"/>
      <charset val="136"/>
    </font>
    <font>
      <sz val="14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24"/>
      <color theme="1"/>
      <name val="微軟正黑體"/>
      <family val="2"/>
      <charset val="136"/>
    </font>
    <font>
      <b/>
      <sz val="12"/>
      <color rgb="FFFF0000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2"/>
      <color rgb="FF0000CC"/>
      <name val="新細明體"/>
      <family val="1"/>
      <charset val="136"/>
      <scheme val="minor"/>
    </font>
    <font>
      <sz val="10"/>
      <color theme="1"/>
      <name val="微軟正黑體"/>
      <family val="2"/>
      <charset val="136"/>
    </font>
    <font>
      <sz val="12"/>
      <color rgb="FF000000"/>
      <name val="微軟正黑體"/>
      <family val="2"/>
      <charset val="136"/>
    </font>
    <font>
      <sz val="12"/>
      <name val="微軟正黑體"/>
      <family val="2"/>
      <charset val="136"/>
    </font>
    <font>
      <b/>
      <sz val="12"/>
      <name val="微軟正黑體"/>
      <family val="2"/>
      <charset val="136"/>
    </font>
    <font>
      <u/>
      <sz val="12"/>
      <color theme="10"/>
      <name val="微軟正黑體"/>
      <family val="2"/>
      <charset val="136"/>
    </font>
    <font>
      <sz val="16"/>
      <name val="微軟正黑體"/>
      <family val="2"/>
      <charset val="136"/>
    </font>
    <font>
      <b/>
      <sz val="12"/>
      <color theme="1"/>
      <name val="微軟正黑體"/>
      <family val="2"/>
      <charset val="136"/>
    </font>
    <font>
      <sz val="12"/>
      <color theme="0"/>
      <name val="微軟正黑體"/>
      <family val="2"/>
      <charset val="136"/>
    </font>
    <font>
      <sz val="12"/>
      <color rgb="FF0000CC"/>
      <name val="微軟正黑體"/>
      <family val="2"/>
      <charset val="136"/>
    </font>
    <font>
      <sz val="11"/>
      <color theme="1"/>
      <name val="微軟正黑體"/>
      <family val="2"/>
      <charset val="136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0" fontId="3" fillId="0" borderId="0"/>
  </cellStyleXfs>
  <cellXfs count="123">
    <xf numFmtId="0" fontId="0" fillId="0" borderId="0" xfId="0"/>
    <xf numFmtId="0" fontId="0" fillId="0" borderId="1" xfId="0" applyBorder="1" applyAlignment="1">
      <alignment vertical="center"/>
    </xf>
    <xf numFmtId="0" fontId="0" fillId="3" borderId="1" xfId="0" applyFill="1" applyBorder="1"/>
    <xf numFmtId="0" fontId="0" fillId="10" borderId="1" xfId="0" applyFill="1" applyBorder="1"/>
    <xf numFmtId="0" fontId="0" fillId="10" borderId="1" xfId="0" applyFill="1" applyBorder="1" applyAlignment="1">
      <alignment vertical="center"/>
    </xf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wrapText="1"/>
    </xf>
    <xf numFmtId="0" fontId="0" fillId="2" borderId="1" xfId="0" applyFill="1" applyBorder="1" applyAlignment="1">
      <alignment vertical="center" wrapText="1"/>
    </xf>
    <xf numFmtId="14" fontId="0" fillId="2" borderId="1" xfId="0" applyNumberForma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176" fontId="7" fillId="2" borderId="1" xfId="0" applyNumberFormat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vertical="center"/>
    </xf>
    <xf numFmtId="0" fontId="7" fillId="2" borderId="7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49" fontId="7" fillId="5" borderId="1" xfId="0" applyNumberFormat="1" applyFont="1" applyFill="1" applyBorder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2" fontId="7" fillId="2" borderId="0" xfId="0" applyNumberFormat="1" applyFont="1" applyFill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176" fontId="7" fillId="13" borderId="1" xfId="0" applyNumberFormat="1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176" fontId="7" fillId="2" borderId="1" xfId="0" applyNumberFormat="1" applyFont="1" applyFill="1" applyBorder="1" applyAlignment="1">
      <alignment vertical="center"/>
    </xf>
    <xf numFmtId="11" fontId="7" fillId="2" borderId="1" xfId="0" applyNumberFormat="1" applyFont="1" applyFill="1" applyBorder="1" applyAlignment="1">
      <alignment vertical="center"/>
    </xf>
    <xf numFmtId="0" fontId="7" fillId="2" borderId="10" xfId="0" applyFont="1" applyFill="1" applyBorder="1" applyAlignment="1">
      <alignment horizontal="center" vertical="center"/>
    </xf>
    <xf numFmtId="0" fontId="18" fillId="2" borderId="13" xfId="0" applyFont="1" applyFill="1" applyBorder="1" applyAlignment="1">
      <alignment horizontal="center" vertical="center"/>
    </xf>
    <xf numFmtId="178" fontId="18" fillId="2" borderId="14" xfId="0" applyNumberFormat="1" applyFont="1" applyFill="1" applyBorder="1" applyAlignment="1">
      <alignment horizontal="center" vertical="center"/>
    </xf>
    <xf numFmtId="0" fontId="18" fillId="2" borderId="16" xfId="0" applyFont="1" applyFill="1" applyBorder="1" applyAlignment="1">
      <alignment horizontal="center" vertical="center"/>
    </xf>
    <xf numFmtId="0" fontId="18" fillId="2" borderId="15" xfId="0" applyFont="1" applyFill="1" applyBorder="1" applyAlignment="1">
      <alignment horizontal="center" vertical="center"/>
    </xf>
    <xf numFmtId="179" fontId="12" fillId="9" borderId="9" xfId="2" applyNumberFormat="1" applyFont="1" applyFill="1" applyBorder="1" applyAlignment="1">
      <alignment horizontal="center" vertical="center"/>
    </xf>
    <xf numFmtId="0" fontId="19" fillId="2" borderId="0" xfId="0" applyFont="1" applyFill="1" applyBorder="1" applyAlignment="1">
      <alignment vertical="center"/>
    </xf>
    <xf numFmtId="49" fontId="19" fillId="2" borderId="0" xfId="0" applyNumberFormat="1" applyFont="1" applyFill="1" applyBorder="1" applyAlignment="1">
      <alignment horizontal="center" vertical="center"/>
    </xf>
    <xf numFmtId="0" fontId="7" fillId="2" borderId="0" xfId="0" applyFont="1" applyFill="1" applyBorder="1" applyAlignment="1">
      <alignment vertical="center"/>
    </xf>
    <xf numFmtId="0" fontId="7" fillId="2" borderId="9" xfId="0" applyFont="1" applyFill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18" fillId="2" borderId="17" xfId="0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center" vertical="center"/>
    </xf>
    <xf numFmtId="178" fontId="18" fillId="2" borderId="19" xfId="0" applyNumberFormat="1" applyFont="1" applyFill="1" applyBorder="1" applyAlignment="1">
      <alignment horizontal="center" vertical="center"/>
    </xf>
    <xf numFmtId="49" fontId="7" fillId="5" borderId="23" xfId="0" applyNumberFormat="1" applyFont="1" applyFill="1" applyBorder="1" applyAlignment="1">
      <alignment horizontal="center" vertical="center" shrinkToFit="1"/>
    </xf>
    <xf numFmtId="49" fontId="7" fillId="5" borderId="15" xfId="0" applyNumberFormat="1" applyFont="1" applyFill="1" applyBorder="1" applyAlignment="1">
      <alignment horizontal="center" vertical="center" shrinkToFit="1"/>
    </xf>
    <xf numFmtId="49" fontId="7" fillId="5" borderId="16" xfId="0" applyNumberFormat="1" applyFont="1" applyFill="1" applyBorder="1" applyAlignment="1">
      <alignment horizontal="center" vertical="center"/>
    </xf>
    <xf numFmtId="0" fontId="7" fillId="2" borderId="24" xfId="0" applyFont="1" applyFill="1" applyBorder="1" applyAlignment="1">
      <alignment horizontal="center" vertical="center"/>
    </xf>
    <xf numFmtId="0" fontId="7" fillId="2" borderId="25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center" vertical="center"/>
    </xf>
    <xf numFmtId="0" fontId="7" fillId="4" borderId="16" xfId="0" applyFont="1" applyFill="1" applyBorder="1" applyAlignment="1">
      <alignment horizontal="center" vertical="center"/>
    </xf>
    <xf numFmtId="176" fontId="7" fillId="2" borderId="16" xfId="0" applyNumberFormat="1" applyFont="1" applyFill="1" applyBorder="1" applyAlignment="1">
      <alignment horizontal="center" vertical="center"/>
    </xf>
    <xf numFmtId="0" fontId="7" fillId="2" borderId="27" xfId="0" applyFont="1" applyFill="1" applyBorder="1" applyAlignment="1">
      <alignment horizontal="center" vertical="center"/>
    </xf>
    <xf numFmtId="0" fontId="2" fillId="0" borderId="0" xfId="1"/>
    <xf numFmtId="0" fontId="7" fillId="14" borderId="9" xfId="0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4" fillId="12" borderId="7" xfId="1" applyFont="1" applyFill="1" applyBorder="1" applyAlignment="1">
      <alignment vertical="center" shrinkToFit="1"/>
    </xf>
    <xf numFmtId="0" fontId="14" fillId="8" borderId="1" xfId="1" quotePrefix="1" applyFont="1" applyFill="1" applyBorder="1" applyAlignment="1">
      <alignment horizontal="center" vertical="center" shrinkToFit="1"/>
    </xf>
    <xf numFmtId="49" fontId="7" fillId="12" borderId="1" xfId="0" applyNumberFormat="1" applyFont="1" applyFill="1" applyBorder="1" applyAlignment="1">
      <alignment vertical="center" shrinkToFit="1"/>
    </xf>
    <xf numFmtId="49" fontId="7" fillId="12" borderId="1" xfId="0" applyNumberFormat="1" applyFont="1" applyFill="1" applyBorder="1" applyAlignment="1">
      <alignment horizontal="center" vertical="center"/>
    </xf>
    <xf numFmtId="0" fontId="7" fillId="12" borderId="7" xfId="0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center" vertical="center"/>
    </xf>
    <xf numFmtId="0" fontId="7" fillId="12" borderId="9" xfId="0" applyFont="1" applyFill="1" applyBorder="1" applyAlignment="1">
      <alignment horizontal="center" vertical="center"/>
    </xf>
    <xf numFmtId="0" fontId="21" fillId="12" borderId="8" xfId="0" applyFont="1" applyFill="1" applyBorder="1" applyAlignment="1">
      <alignment horizontal="left" vertical="center"/>
    </xf>
    <xf numFmtId="49" fontId="7" fillId="14" borderId="1" xfId="0" applyNumberFormat="1" applyFont="1" applyFill="1" applyBorder="1" applyAlignment="1">
      <alignment vertical="center" shrinkToFit="1"/>
    </xf>
    <xf numFmtId="49" fontId="7" fillId="14" borderId="1" xfId="0" applyNumberFormat="1" applyFont="1" applyFill="1" applyBorder="1" applyAlignment="1">
      <alignment horizontal="center" vertical="center"/>
    </xf>
    <xf numFmtId="0" fontId="7" fillId="14" borderId="7" xfId="0" applyFont="1" applyFill="1" applyBorder="1" applyAlignment="1">
      <alignment horizontal="center" vertical="center"/>
    </xf>
    <xf numFmtId="0" fontId="7" fillId="14" borderId="8" xfId="0" applyFont="1" applyFill="1" applyBorder="1" applyAlignment="1">
      <alignment horizontal="center" vertical="center"/>
    </xf>
    <xf numFmtId="0" fontId="21" fillId="14" borderId="8" xfId="0" applyFont="1" applyFill="1" applyBorder="1" applyAlignment="1">
      <alignment horizontal="left" vertical="center"/>
    </xf>
    <xf numFmtId="0" fontId="20" fillId="2" borderId="12" xfId="0" applyFont="1" applyFill="1" applyBorder="1" applyAlignment="1">
      <alignment horizontal="center" vertical="center" shrinkToFit="1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7" fillId="2" borderId="0" xfId="0" applyFont="1" applyFill="1" applyAlignment="1">
      <alignment vertical="center"/>
    </xf>
    <xf numFmtId="0" fontId="2" fillId="3" borderId="0" xfId="1" applyFill="1" applyAlignment="1">
      <alignment horizontal="center" vertical="center"/>
    </xf>
    <xf numFmtId="0" fontId="7" fillId="5" borderId="17" xfId="0" applyFont="1" applyFill="1" applyBorder="1" applyAlignment="1">
      <alignment horizontal="center" vertical="center"/>
    </xf>
    <xf numFmtId="0" fontId="7" fillId="5" borderId="18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 wrapText="1"/>
    </xf>
    <xf numFmtId="0" fontId="7" fillId="5" borderId="32" xfId="0" applyFont="1" applyFill="1" applyBorder="1" applyAlignment="1">
      <alignment horizontal="center" vertical="center"/>
    </xf>
    <xf numFmtId="0" fontId="7" fillId="5" borderId="31" xfId="0" applyFont="1" applyFill="1" applyBorder="1" applyAlignment="1">
      <alignment horizontal="center" vertical="center"/>
    </xf>
    <xf numFmtId="0" fontId="20" fillId="2" borderId="8" xfId="0" applyFont="1" applyFill="1" applyBorder="1" applyAlignment="1">
      <alignment horizontal="center" vertical="center" shrinkToFit="1"/>
    </xf>
    <xf numFmtId="0" fontId="13" fillId="0" borderId="0" xfId="0" applyFont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7" fillId="2" borderId="1" xfId="3" applyFont="1" applyFill="1" applyBorder="1" applyAlignment="1">
      <alignment horizontal="center" vertical="center"/>
    </xf>
    <xf numFmtId="0" fontId="7" fillId="2" borderId="0" xfId="3" applyFont="1" applyFill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 shrinkToFit="1"/>
    </xf>
    <xf numFmtId="0" fontId="20" fillId="2" borderId="22" xfId="0" applyFont="1" applyFill="1" applyBorder="1" applyAlignment="1">
      <alignment horizontal="center" vertical="center" shrinkToFit="1"/>
    </xf>
    <xf numFmtId="0" fontId="14" fillId="6" borderId="2" xfId="1" applyFont="1" applyFill="1" applyBorder="1" applyAlignment="1">
      <alignment horizontal="center" vertical="center" shrinkToFit="1"/>
    </xf>
    <xf numFmtId="0" fontId="14" fillId="6" borderId="3" xfId="1" applyFont="1" applyFill="1" applyBorder="1" applyAlignment="1">
      <alignment horizontal="center" vertical="center" shrinkToFit="1"/>
    </xf>
    <xf numFmtId="0" fontId="14" fillId="6" borderId="4" xfId="1" applyFont="1" applyFill="1" applyBorder="1" applyAlignment="1">
      <alignment horizontal="center" vertical="center" shrinkToFit="1"/>
    </xf>
    <xf numFmtId="0" fontId="15" fillId="3" borderId="7" xfId="1" applyFont="1" applyFill="1" applyBorder="1" applyAlignment="1">
      <alignment horizontal="center" vertical="center" shrinkToFit="1"/>
    </xf>
    <xf numFmtId="0" fontId="15" fillId="3" borderId="8" xfId="1" applyFont="1" applyFill="1" applyBorder="1" applyAlignment="1">
      <alignment horizontal="center" vertical="center" shrinkToFit="1"/>
    </xf>
    <xf numFmtId="0" fontId="15" fillId="3" borderId="9" xfId="1" applyFont="1" applyFill="1" applyBorder="1" applyAlignment="1">
      <alignment horizontal="center" vertical="center" shrinkToFit="1"/>
    </xf>
    <xf numFmtId="0" fontId="8" fillId="7" borderId="2" xfId="0" applyFont="1" applyFill="1" applyBorder="1" applyAlignment="1">
      <alignment horizontal="center" vertical="center"/>
    </xf>
    <xf numFmtId="0" fontId="8" fillId="7" borderId="3" xfId="0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7" borderId="11" xfId="0" applyFont="1" applyFill="1" applyBorder="1" applyAlignment="1">
      <alignment horizontal="center" vertical="center"/>
    </xf>
    <xf numFmtId="0" fontId="8" fillId="7" borderId="5" xfId="0" applyFont="1" applyFill="1" applyBorder="1" applyAlignment="1">
      <alignment horizontal="center" vertical="center"/>
    </xf>
    <xf numFmtId="0" fontId="8" fillId="7" borderId="6" xfId="0" applyFont="1" applyFill="1" applyBorder="1" applyAlignment="1">
      <alignment horizontal="center" vertical="center"/>
    </xf>
    <xf numFmtId="0" fontId="14" fillId="12" borderId="7" xfId="1" applyFont="1" applyFill="1" applyBorder="1" applyAlignment="1">
      <alignment horizontal="center" vertical="center" shrinkToFit="1"/>
    </xf>
    <xf numFmtId="0" fontId="14" fillId="12" borderId="8" xfId="1" applyFont="1" applyFill="1" applyBorder="1" applyAlignment="1">
      <alignment horizontal="center" vertical="center" shrinkToFit="1"/>
    </xf>
    <xf numFmtId="0" fontId="14" fillId="12" borderId="9" xfId="1" applyFont="1" applyFill="1" applyBorder="1" applyAlignment="1">
      <alignment horizontal="center" vertical="center" shrinkToFit="1"/>
    </xf>
    <xf numFmtId="0" fontId="14" fillId="12" borderId="1" xfId="1" applyFont="1" applyFill="1" applyBorder="1" applyAlignment="1">
      <alignment horizontal="center" vertical="center" shrinkToFit="1"/>
    </xf>
    <xf numFmtId="14" fontId="14" fillId="2" borderId="7" xfId="1" applyNumberFormat="1" applyFont="1" applyFill="1" applyBorder="1" applyAlignment="1">
      <alignment horizontal="center" vertical="center" shrinkToFit="1"/>
    </xf>
    <xf numFmtId="14" fontId="14" fillId="2" borderId="8" xfId="1" applyNumberFormat="1" applyFont="1" applyFill="1" applyBorder="1" applyAlignment="1">
      <alignment horizontal="center" vertical="center" shrinkToFit="1"/>
    </xf>
    <xf numFmtId="14" fontId="14" fillId="2" borderId="9" xfId="1" applyNumberFormat="1" applyFont="1" applyFill="1" applyBorder="1" applyAlignment="1">
      <alignment horizontal="center" vertical="center" shrinkToFit="1"/>
    </xf>
    <xf numFmtId="0" fontId="14" fillId="2" borderId="7" xfId="1" applyFont="1" applyFill="1" applyBorder="1" applyAlignment="1">
      <alignment horizontal="center" vertical="center" shrinkToFit="1"/>
    </xf>
    <xf numFmtId="0" fontId="14" fillId="2" borderId="8" xfId="1" applyFont="1" applyFill="1" applyBorder="1" applyAlignment="1">
      <alignment horizontal="center" vertical="center" shrinkToFit="1"/>
    </xf>
    <xf numFmtId="0" fontId="14" fillId="2" borderId="9" xfId="1" applyFont="1" applyFill="1" applyBorder="1" applyAlignment="1">
      <alignment horizontal="center" vertical="center" shrinkToFit="1"/>
    </xf>
    <xf numFmtId="177" fontId="14" fillId="2" borderId="7" xfId="1" applyNumberFormat="1" applyFont="1" applyFill="1" applyBorder="1" applyAlignment="1">
      <alignment horizontal="center" vertical="center" shrinkToFit="1"/>
    </xf>
    <xf numFmtId="177" fontId="14" fillId="2" borderId="8" xfId="1" applyNumberFormat="1" applyFont="1" applyFill="1" applyBorder="1" applyAlignment="1">
      <alignment horizontal="center" vertical="center" shrinkToFit="1"/>
    </xf>
    <xf numFmtId="177" fontId="14" fillId="2" borderId="9" xfId="1" applyNumberFormat="1" applyFont="1" applyFill="1" applyBorder="1" applyAlignment="1">
      <alignment horizontal="center" vertical="center" shrinkToFit="1"/>
    </xf>
    <xf numFmtId="0" fontId="14" fillId="6" borderId="1" xfId="1" applyFont="1" applyFill="1" applyBorder="1" applyAlignment="1">
      <alignment horizontal="center" vertical="center" shrinkToFit="1"/>
    </xf>
    <xf numFmtId="0" fontId="7" fillId="5" borderId="33" xfId="0" applyFont="1" applyFill="1" applyBorder="1" applyAlignment="1">
      <alignment horizontal="center" vertical="center" wrapText="1"/>
    </xf>
    <xf numFmtId="0" fontId="7" fillId="5" borderId="34" xfId="0" applyFont="1" applyFill="1" applyBorder="1" applyAlignment="1">
      <alignment horizontal="center" vertical="center" wrapText="1"/>
    </xf>
    <xf numFmtId="0" fontId="14" fillId="2" borderId="1" xfId="1" applyFont="1" applyFill="1" applyBorder="1" applyAlignment="1">
      <alignment horizontal="center" vertical="center" shrinkToFit="1"/>
    </xf>
    <xf numFmtId="0" fontId="17" fillId="6" borderId="3" xfId="1" applyFont="1" applyFill="1" applyBorder="1" applyAlignment="1">
      <alignment horizontal="center" vertical="center" wrapText="1" shrinkToFit="1"/>
    </xf>
    <xf numFmtId="0" fontId="17" fillId="6" borderId="0" xfId="1" applyFont="1" applyFill="1" applyBorder="1" applyAlignment="1">
      <alignment horizontal="center" vertical="center" wrapText="1" shrinkToFit="1"/>
    </xf>
    <xf numFmtId="0" fontId="17" fillId="6" borderId="29" xfId="1" applyFont="1" applyFill="1" applyBorder="1" applyAlignment="1">
      <alignment horizontal="center" vertical="center" wrapText="1" shrinkToFit="1"/>
    </xf>
    <xf numFmtId="0" fontId="16" fillId="2" borderId="1" xfId="1" applyFont="1" applyFill="1" applyBorder="1" applyAlignment="1">
      <alignment horizontal="center" vertical="center"/>
    </xf>
    <xf numFmtId="0" fontId="7" fillId="5" borderId="20" xfId="0" applyFont="1" applyFill="1" applyBorder="1" applyAlignment="1">
      <alignment horizontal="center" vertical="center"/>
    </xf>
    <xf numFmtId="0" fontId="7" fillId="5" borderId="21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0" fontId="6" fillId="11" borderId="0" xfId="0" applyFont="1" applyFill="1" applyAlignment="1">
      <alignment horizontal="center" vertical="center"/>
    </xf>
  </cellXfs>
  <cellStyles count="4">
    <cellStyle name="一般" xfId="0" builtinId="0"/>
    <cellStyle name="一般 2" xfId="3"/>
    <cellStyle name="千分位" xfId="2" builtinId="3"/>
    <cellStyle name="超連結" xfId="1" builtinId="8"/>
  </cellStyles>
  <dxfs count="160"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  <dxf>
      <font>
        <b/>
        <i val="0"/>
        <color rgb="FF0000CC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color theme="0" tint="-0.14996795556505021"/>
      </font>
      <fill>
        <patternFill>
          <bgColor theme="0"/>
        </patternFill>
      </fill>
    </dxf>
    <dxf>
      <font>
        <b/>
        <i val="0"/>
        <color theme="0"/>
      </font>
      <fill>
        <patternFill>
          <bgColor theme="4"/>
        </patternFill>
      </fill>
    </dxf>
    <dxf>
      <font>
        <b/>
        <i val="0"/>
        <color theme="0"/>
      </font>
      <fill>
        <patternFill>
          <bgColor rgb="FFC00000"/>
        </patternFill>
      </fill>
    </dxf>
    <dxf>
      <font>
        <b/>
        <i val="0"/>
        <color theme="0"/>
      </font>
      <fill>
        <patternFill>
          <bgColor rgb="FFFFC000"/>
        </patternFill>
      </fill>
    </dxf>
    <dxf>
      <font>
        <b/>
        <i val="0"/>
        <color theme="5" tint="-0.24994659260841701"/>
      </font>
      <fill>
        <patternFill>
          <bgColor theme="7" tint="0.59996337778862885"/>
        </patternFill>
      </fill>
    </dxf>
  </dxfs>
  <tableStyles count="0" defaultTableStyle="TableStyleMedium2" defaultPivotStyle="PivotStyleMedium9"/>
  <colors>
    <mruColors>
      <color rgb="FF0000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44823</xdr:colOff>
      <xdr:row>3</xdr:row>
      <xdr:rowOff>56029</xdr:rowOff>
    </xdr:from>
    <xdr:to>
      <xdr:col>19</xdr:col>
      <xdr:colOff>717176</xdr:colOff>
      <xdr:row>23</xdr:row>
      <xdr:rowOff>156883</xdr:rowOff>
    </xdr:to>
    <xdr:pic>
      <xdr:nvPicPr>
        <xdr:cNvPr id="4" name="圖片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21323" y="582705"/>
          <a:ext cx="7463118" cy="42022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450849</xdr:colOff>
      <xdr:row>2</xdr:row>
      <xdr:rowOff>158750</xdr:rowOff>
    </xdr:from>
    <xdr:to>
      <xdr:col>25</xdr:col>
      <xdr:colOff>278710</xdr:colOff>
      <xdr:row>25</xdr:row>
      <xdr:rowOff>203200</xdr:rowOff>
    </xdr:to>
    <xdr:pic>
      <xdr:nvPicPr>
        <xdr:cNvPr id="2" name="圖片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449" y="570230"/>
          <a:ext cx="14458261" cy="47764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file:///\\mbfs1\public\10_RD&#38283;&#30332;&#26283;&#23384;&#21312;\01_RD&#38283;&#30332;&#20214;(&#24453;&#19978;&#32218;&#21312;)\804LY0241001B0_Mickey\(CY95550_001)804LY0241001B0&#27298;&#35215;.pd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J135"/>
  <sheetViews>
    <sheetView tabSelected="1" zoomScale="85" zoomScaleNormal="85" workbookViewId="0">
      <selection activeCell="V12" sqref="V12"/>
    </sheetView>
  </sheetViews>
  <sheetFormatPr defaultColWidth="9" defaultRowHeight="15.5"/>
  <cols>
    <col min="1" max="1" width="1.6328125" style="19" customWidth="1"/>
    <col min="2" max="2" width="4.453125" style="17" customWidth="1"/>
    <col min="3" max="3" width="5.90625" style="18" bestFit="1" customWidth="1"/>
    <col min="4" max="4" width="4.6328125" style="17" customWidth="1"/>
    <col min="5" max="5" width="8.6328125" style="17" customWidth="1"/>
    <col min="6" max="6" width="4.6328125" style="18" customWidth="1"/>
    <col min="7" max="7" width="2.6328125" style="17" customWidth="1"/>
    <col min="8" max="8" width="6.90625" style="18" customWidth="1"/>
    <col min="9" max="9" width="2.6328125" style="18" customWidth="1"/>
    <col min="10" max="10" width="7.453125" style="17" bestFit="1" customWidth="1"/>
    <col min="11" max="11" width="9.6328125" style="17" customWidth="1"/>
    <col min="12" max="12" width="9.453125" style="17" hidden="1" customWidth="1"/>
    <col min="13" max="15" width="9.6328125" style="17" customWidth="1"/>
    <col min="16" max="17" width="8.08984375" style="17" customWidth="1"/>
    <col min="18" max="18" width="9.453125" style="17" customWidth="1"/>
    <col min="19" max="19" width="8.08984375" style="17" customWidth="1"/>
    <col min="20" max="20" width="12.36328125" style="17" customWidth="1"/>
    <col min="21" max="16384" width="9" style="19"/>
  </cols>
  <sheetData>
    <row r="1" spans="1:36" ht="7.5" customHeight="1">
      <c r="Y1" s="20" t="s">
        <v>19</v>
      </c>
      <c r="Z1" s="20" t="s">
        <v>20</v>
      </c>
      <c r="AA1" s="68" t="s">
        <v>189</v>
      </c>
      <c r="AB1" s="33" t="s">
        <v>190</v>
      </c>
    </row>
    <row r="2" spans="1:36" ht="16.5" customHeight="1">
      <c r="B2" s="91" t="s">
        <v>100</v>
      </c>
      <c r="C2" s="92"/>
      <c r="D2" s="92"/>
      <c r="E2" s="92"/>
      <c r="F2" s="92"/>
      <c r="G2" s="92"/>
      <c r="H2" s="92"/>
      <c r="I2" s="92"/>
      <c r="J2" s="92"/>
      <c r="K2" s="92"/>
      <c r="L2" s="92"/>
      <c r="M2" s="92"/>
      <c r="N2" s="92"/>
      <c r="O2" s="92"/>
      <c r="P2" s="92"/>
      <c r="Q2" s="92"/>
      <c r="R2" s="92"/>
      <c r="S2" s="92"/>
      <c r="T2" s="93"/>
      <c r="Y2" s="13" t="s">
        <v>101</v>
      </c>
      <c r="Z2" s="21" t="s">
        <v>38</v>
      </c>
      <c r="AA2" s="68">
        <v>1478</v>
      </c>
      <c r="AB2" s="76" t="s">
        <v>191</v>
      </c>
      <c r="AC2" s="35" t="s">
        <v>46</v>
      </c>
      <c r="AD2" s="22" t="s">
        <v>44</v>
      </c>
      <c r="AE2" s="19" t="s">
        <v>59</v>
      </c>
      <c r="AH2" s="19" t="s">
        <v>128</v>
      </c>
      <c r="AJ2" s="68" t="s">
        <v>157</v>
      </c>
    </row>
    <row r="3" spans="1:36" ht="16.5" customHeight="1">
      <c r="B3" s="94"/>
      <c r="C3" s="95"/>
      <c r="D3" s="95"/>
      <c r="E3" s="95"/>
      <c r="F3" s="95"/>
      <c r="G3" s="95"/>
      <c r="H3" s="95"/>
      <c r="I3" s="95"/>
      <c r="J3" s="95"/>
      <c r="K3" s="95"/>
      <c r="L3" s="95"/>
      <c r="M3" s="95"/>
      <c r="N3" s="95"/>
      <c r="O3" s="95"/>
      <c r="P3" s="95"/>
      <c r="Q3" s="95"/>
      <c r="R3" s="95"/>
      <c r="S3" s="95"/>
      <c r="T3" s="96"/>
      <c r="Y3" s="13" t="s">
        <v>15</v>
      </c>
      <c r="Z3" s="23">
        <v>0</v>
      </c>
      <c r="AA3" s="68">
        <v>1626</v>
      </c>
      <c r="AB3" s="76" t="s">
        <v>192</v>
      </c>
      <c r="AC3" s="35"/>
      <c r="AD3" s="22" t="s">
        <v>45</v>
      </c>
      <c r="AH3" s="19" t="s">
        <v>131</v>
      </c>
      <c r="AJ3" s="68" t="s">
        <v>158</v>
      </c>
    </row>
    <row r="4" spans="1:36" ht="17">
      <c r="B4" s="85" t="s">
        <v>65</v>
      </c>
      <c r="C4" s="86"/>
      <c r="D4" s="87"/>
      <c r="E4" s="85" t="s">
        <v>159</v>
      </c>
      <c r="F4" s="86"/>
      <c r="G4" s="87"/>
      <c r="H4" s="117"/>
      <c r="I4" s="117"/>
      <c r="J4" s="117"/>
      <c r="K4" s="117"/>
      <c r="L4" s="117"/>
      <c r="M4" s="117"/>
      <c r="N4" s="117"/>
      <c r="O4" s="117"/>
      <c r="P4" s="117"/>
      <c r="Q4" s="117"/>
      <c r="R4" s="117"/>
      <c r="S4" s="117"/>
      <c r="T4" s="117"/>
      <c r="U4" s="50" t="s">
        <v>135</v>
      </c>
      <c r="Y4" s="24" t="s">
        <v>17</v>
      </c>
      <c r="Z4" s="23">
        <v>5.0000000000000001E-3</v>
      </c>
      <c r="AA4" s="68">
        <v>1650</v>
      </c>
      <c r="AB4" s="76" t="s">
        <v>193</v>
      </c>
      <c r="AD4" s="67" t="s">
        <v>156</v>
      </c>
      <c r="AH4" s="19" t="s">
        <v>122</v>
      </c>
    </row>
    <row r="5" spans="1:36" ht="16">
      <c r="B5" s="85" t="s">
        <v>66</v>
      </c>
      <c r="C5" s="86"/>
      <c r="D5" s="87"/>
      <c r="E5" s="88">
        <f>E7+E9+E8</f>
        <v>0</v>
      </c>
      <c r="F5" s="89"/>
      <c r="G5" s="90"/>
      <c r="H5" s="117"/>
      <c r="I5" s="117"/>
      <c r="J5" s="117"/>
      <c r="K5" s="117"/>
      <c r="L5" s="117"/>
      <c r="M5" s="117"/>
      <c r="N5" s="117"/>
      <c r="O5" s="117"/>
      <c r="P5" s="117"/>
      <c r="Q5" s="117"/>
      <c r="R5" s="117"/>
      <c r="S5" s="117"/>
      <c r="T5" s="117"/>
      <c r="U5" s="17"/>
      <c r="Y5" s="13" t="s">
        <v>102</v>
      </c>
      <c r="Z5" s="23">
        <v>0.01</v>
      </c>
      <c r="AA5" s="68">
        <v>1666</v>
      </c>
      <c r="AB5" s="76" t="s">
        <v>194</v>
      </c>
      <c r="AC5" s="35" t="s">
        <v>47</v>
      </c>
      <c r="AD5" s="22"/>
      <c r="AH5" s="19" t="s">
        <v>130</v>
      </c>
    </row>
    <row r="6" spans="1:36" ht="17">
      <c r="A6" s="19">
        <f>COUNTA(E26:E82)</f>
        <v>53</v>
      </c>
      <c r="B6" s="85" t="s">
        <v>67</v>
      </c>
      <c r="C6" s="86"/>
      <c r="D6" s="87"/>
      <c r="E6" s="88">
        <f>IF(A6-E5&lt;=0,0,A6-E5)</f>
        <v>53</v>
      </c>
      <c r="F6" s="89"/>
      <c r="G6" s="90"/>
      <c r="H6" s="117"/>
      <c r="I6" s="117"/>
      <c r="J6" s="117"/>
      <c r="K6" s="117"/>
      <c r="L6" s="117"/>
      <c r="M6" s="117"/>
      <c r="N6" s="117"/>
      <c r="O6" s="117"/>
      <c r="P6" s="117"/>
      <c r="Q6" s="117"/>
      <c r="R6" s="117"/>
      <c r="S6" s="117"/>
      <c r="T6" s="117"/>
      <c r="U6" s="69" t="s">
        <v>136</v>
      </c>
      <c r="Y6" s="13" t="s">
        <v>103</v>
      </c>
      <c r="Z6" s="23">
        <v>1.4999999999999999E-2</v>
      </c>
      <c r="AA6" s="68">
        <v>2051</v>
      </c>
      <c r="AB6" s="76" t="s">
        <v>195</v>
      </c>
      <c r="AC6" s="35" t="s">
        <v>48</v>
      </c>
      <c r="AH6" s="19" t="s">
        <v>126</v>
      </c>
    </row>
    <row r="7" spans="1:36" ht="16">
      <c r="B7" s="85" t="s">
        <v>33</v>
      </c>
      <c r="C7" s="86"/>
      <c r="D7" s="87"/>
      <c r="E7" s="88">
        <f>COUNTIF(P:P,"合格")</f>
        <v>0</v>
      </c>
      <c r="F7" s="89"/>
      <c r="G7" s="90"/>
      <c r="H7" s="117"/>
      <c r="I7" s="117"/>
      <c r="J7" s="117"/>
      <c r="K7" s="117"/>
      <c r="L7" s="117"/>
      <c r="M7" s="117"/>
      <c r="N7" s="117"/>
      <c r="O7" s="117"/>
      <c r="P7" s="117"/>
      <c r="Q7" s="117"/>
      <c r="R7" s="117"/>
      <c r="S7" s="117"/>
      <c r="T7" s="117"/>
      <c r="Y7" s="13" t="s">
        <v>104</v>
      </c>
      <c r="Z7" s="23">
        <v>0.02</v>
      </c>
      <c r="AA7" s="68">
        <v>1492</v>
      </c>
      <c r="AB7" s="76" t="s">
        <v>196</v>
      </c>
      <c r="AC7" s="35" t="s">
        <v>49</v>
      </c>
      <c r="AH7" s="19" t="s">
        <v>123</v>
      </c>
    </row>
    <row r="8" spans="1:36" ht="16">
      <c r="B8" s="85" t="s">
        <v>32</v>
      </c>
      <c r="C8" s="86"/>
      <c r="D8" s="87"/>
      <c r="E8" s="88">
        <f>COUNTIF(P:P,"特採")</f>
        <v>0</v>
      </c>
      <c r="F8" s="89"/>
      <c r="G8" s="90"/>
      <c r="H8" s="117"/>
      <c r="I8" s="117"/>
      <c r="J8" s="117"/>
      <c r="K8" s="117"/>
      <c r="L8" s="117"/>
      <c r="M8" s="117"/>
      <c r="N8" s="117"/>
      <c r="O8" s="117"/>
      <c r="P8" s="117"/>
      <c r="Q8" s="117"/>
      <c r="R8" s="117"/>
      <c r="S8" s="117"/>
      <c r="T8" s="117"/>
      <c r="Y8" s="13" t="s">
        <v>105</v>
      </c>
      <c r="Z8" s="23">
        <v>2.1000000000000001E-2</v>
      </c>
      <c r="AA8" s="68">
        <v>1907</v>
      </c>
      <c r="AB8" s="76" t="s">
        <v>197</v>
      </c>
      <c r="AC8" s="35" t="s">
        <v>50</v>
      </c>
      <c r="AH8" s="19" t="s">
        <v>127</v>
      </c>
    </row>
    <row r="9" spans="1:36" ht="16">
      <c r="B9" s="85" t="s">
        <v>34</v>
      </c>
      <c r="C9" s="86"/>
      <c r="D9" s="87"/>
      <c r="E9" s="88">
        <f>COUNTIF(P:P,"異常")</f>
        <v>0</v>
      </c>
      <c r="F9" s="89"/>
      <c r="G9" s="90"/>
      <c r="H9" s="117"/>
      <c r="I9" s="117"/>
      <c r="J9" s="117"/>
      <c r="K9" s="117"/>
      <c r="L9" s="117"/>
      <c r="M9" s="117"/>
      <c r="N9" s="117"/>
      <c r="O9" s="117"/>
      <c r="P9" s="117"/>
      <c r="Q9" s="117"/>
      <c r="R9" s="117"/>
      <c r="S9" s="117"/>
      <c r="T9" s="117"/>
      <c r="Y9" s="13" t="s">
        <v>106</v>
      </c>
      <c r="Z9" s="23">
        <v>2.7E-2</v>
      </c>
      <c r="AA9" s="68">
        <v>1032</v>
      </c>
      <c r="AB9" s="76" t="s">
        <v>198</v>
      </c>
      <c r="AC9" s="35" t="s">
        <v>52</v>
      </c>
      <c r="AH9" s="19" t="s">
        <v>124</v>
      </c>
    </row>
    <row r="10" spans="1:36">
      <c r="B10" s="85" t="s">
        <v>39</v>
      </c>
      <c r="C10" s="86"/>
      <c r="D10" s="87"/>
      <c r="E10" s="107"/>
      <c r="F10" s="108"/>
      <c r="G10" s="109"/>
      <c r="H10" s="117"/>
      <c r="I10" s="117"/>
      <c r="J10" s="117"/>
      <c r="K10" s="117"/>
      <c r="L10" s="117"/>
      <c r="M10" s="117"/>
      <c r="N10" s="117"/>
      <c r="O10" s="117"/>
      <c r="P10" s="117"/>
      <c r="Q10" s="117"/>
      <c r="R10" s="117"/>
      <c r="S10" s="117"/>
      <c r="T10" s="117"/>
      <c r="Y10" s="13" t="s">
        <v>107</v>
      </c>
      <c r="Z10" s="23">
        <v>2.7E-2</v>
      </c>
      <c r="AA10" s="68">
        <v>2011</v>
      </c>
      <c r="AB10" s="76" t="s">
        <v>199</v>
      </c>
      <c r="AC10" s="35" t="s">
        <v>51</v>
      </c>
      <c r="AH10" s="19" t="s">
        <v>125</v>
      </c>
    </row>
    <row r="11" spans="1:36">
      <c r="B11" s="85" t="s">
        <v>40</v>
      </c>
      <c r="C11" s="86"/>
      <c r="D11" s="87"/>
      <c r="E11" s="104"/>
      <c r="F11" s="105"/>
      <c r="G11" s="106"/>
      <c r="H11" s="117"/>
      <c r="I11" s="117"/>
      <c r="J11" s="117"/>
      <c r="K11" s="117"/>
      <c r="L11" s="117"/>
      <c r="M11" s="117"/>
      <c r="N11" s="117"/>
      <c r="O11" s="117"/>
      <c r="P11" s="117"/>
      <c r="Q11" s="117"/>
      <c r="R11" s="117"/>
      <c r="S11" s="117"/>
      <c r="T11" s="117"/>
      <c r="Y11" s="13" t="s">
        <v>108</v>
      </c>
      <c r="Z11" s="23">
        <v>0.03</v>
      </c>
      <c r="AA11" s="68">
        <v>2037</v>
      </c>
      <c r="AB11" s="76" t="s">
        <v>200</v>
      </c>
      <c r="AC11" s="35"/>
      <c r="AH11" s="19" t="s">
        <v>133</v>
      </c>
    </row>
    <row r="12" spans="1:36">
      <c r="B12" s="85" t="s">
        <v>43</v>
      </c>
      <c r="C12" s="86"/>
      <c r="D12" s="87"/>
      <c r="E12" s="101"/>
      <c r="F12" s="102"/>
      <c r="G12" s="103"/>
      <c r="H12" s="117"/>
      <c r="I12" s="117"/>
      <c r="J12" s="117"/>
      <c r="K12" s="117"/>
      <c r="L12" s="117"/>
      <c r="M12" s="117"/>
      <c r="N12" s="117"/>
      <c r="O12" s="117"/>
      <c r="P12" s="117"/>
      <c r="Q12" s="117"/>
      <c r="R12" s="117"/>
      <c r="S12" s="117"/>
      <c r="T12" s="117"/>
      <c r="Y12" s="13" t="s">
        <v>109</v>
      </c>
      <c r="Z12" s="23">
        <v>0.06</v>
      </c>
      <c r="AA12" s="68">
        <v>2139</v>
      </c>
      <c r="AB12" s="77" t="s">
        <v>153</v>
      </c>
      <c r="AH12" s="19" t="s">
        <v>132</v>
      </c>
    </row>
    <row r="13" spans="1:36">
      <c r="B13" s="85" t="s">
        <v>41</v>
      </c>
      <c r="C13" s="86"/>
      <c r="D13" s="87"/>
      <c r="E13" s="51"/>
      <c r="F13" s="98"/>
      <c r="G13" s="99"/>
      <c r="H13" s="117"/>
      <c r="I13" s="117"/>
      <c r="J13" s="117"/>
      <c r="K13" s="117"/>
      <c r="L13" s="117"/>
      <c r="M13" s="117"/>
      <c r="N13" s="117"/>
      <c r="O13" s="117"/>
      <c r="P13" s="117"/>
      <c r="Q13" s="117"/>
      <c r="R13" s="117"/>
      <c r="S13" s="117"/>
      <c r="T13" s="117"/>
      <c r="Y13" s="13" t="s">
        <v>110</v>
      </c>
      <c r="Z13" s="23">
        <v>0.04</v>
      </c>
      <c r="AA13" s="68">
        <v>2206</v>
      </c>
      <c r="AB13" s="77" t="s">
        <v>201</v>
      </c>
      <c r="AH13" s="19" t="s">
        <v>129</v>
      </c>
    </row>
    <row r="14" spans="1:36">
      <c r="B14" s="85" t="s">
        <v>42</v>
      </c>
      <c r="C14" s="86"/>
      <c r="D14" s="87"/>
      <c r="E14" s="97"/>
      <c r="F14" s="98"/>
      <c r="G14" s="99"/>
      <c r="H14" s="117"/>
      <c r="I14" s="117"/>
      <c r="J14" s="117"/>
      <c r="K14" s="117"/>
      <c r="L14" s="117"/>
      <c r="M14" s="117"/>
      <c r="N14" s="117"/>
      <c r="O14" s="117"/>
      <c r="P14" s="117"/>
      <c r="Q14" s="117"/>
      <c r="R14" s="117"/>
      <c r="S14" s="117"/>
      <c r="T14" s="117"/>
      <c r="Y14" s="13" t="s">
        <v>16</v>
      </c>
      <c r="Z14" s="23">
        <v>0.05</v>
      </c>
      <c r="AA14" s="68">
        <v>1925</v>
      </c>
      <c r="AB14" s="76" t="s">
        <v>202</v>
      </c>
    </row>
    <row r="15" spans="1:36" ht="15.75" customHeight="1">
      <c r="B15" s="110" t="s">
        <v>58</v>
      </c>
      <c r="C15" s="110"/>
      <c r="D15" s="114" t="s">
        <v>57</v>
      </c>
      <c r="E15" s="52" t="s">
        <v>137</v>
      </c>
      <c r="F15" s="100"/>
      <c r="G15" s="100"/>
      <c r="H15" s="117"/>
      <c r="I15" s="117"/>
      <c r="J15" s="117"/>
      <c r="K15" s="117"/>
      <c r="L15" s="117"/>
      <c r="M15" s="117"/>
      <c r="N15" s="117"/>
      <c r="O15" s="117"/>
      <c r="P15" s="117"/>
      <c r="Q15" s="117"/>
      <c r="R15" s="117"/>
      <c r="S15" s="117"/>
      <c r="T15" s="117"/>
      <c r="Y15" s="13" t="s">
        <v>111</v>
      </c>
      <c r="Z15" s="23">
        <v>0.1</v>
      </c>
      <c r="AA15" s="68">
        <v>2253</v>
      </c>
      <c r="AB15" s="76" t="s">
        <v>203</v>
      </c>
    </row>
    <row r="16" spans="1:36" ht="15.75" customHeight="1">
      <c r="B16" s="110"/>
      <c r="C16" s="110"/>
      <c r="D16" s="115"/>
      <c r="E16" s="52" t="s">
        <v>138</v>
      </c>
      <c r="F16" s="100"/>
      <c r="G16" s="100"/>
      <c r="H16" s="117"/>
      <c r="I16" s="117"/>
      <c r="J16" s="117"/>
      <c r="K16" s="117"/>
      <c r="L16" s="117"/>
      <c r="M16" s="117"/>
      <c r="N16" s="117"/>
      <c r="O16" s="117"/>
      <c r="P16" s="117"/>
      <c r="Q16" s="117"/>
      <c r="R16" s="117"/>
      <c r="S16" s="117"/>
      <c r="T16" s="117"/>
      <c r="Y16" s="13" t="s">
        <v>112</v>
      </c>
      <c r="Z16" s="23">
        <v>0.15</v>
      </c>
      <c r="AA16" s="68">
        <v>2297</v>
      </c>
      <c r="AB16" s="17" t="s">
        <v>204</v>
      </c>
    </row>
    <row r="17" spans="1:28" ht="15.75" customHeight="1">
      <c r="B17" s="113"/>
      <c r="C17" s="113"/>
      <c r="D17" s="115"/>
      <c r="E17" s="52" t="s">
        <v>139</v>
      </c>
      <c r="F17" s="100"/>
      <c r="G17" s="100"/>
      <c r="H17" s="117"/>
      <c r="I17" s="117"/>
      <c r="J17" s="117"/>
      <c r="K17" s="117"/>
      <c r="L17" s="117"/>
      <c r="M17" s="117"/>
      <c r="N17" s="117"/>
      <c r="O17" s="117"/>
      <c r="P17" s="117"/>
      <c r="Q17" s="117"/>
      <c r="R17" s="117"/>
      <c r="S17" s="117"/>
      <c r="T17" s="117"/>
      <c r="Y17" s="24" t="s">
        <v>113</v>
      </c>
      <c r="Z17" s="23">
        <v>0.2</v>
      </c>
      <c r="AA17" s="68">
        <v>2302</v>
      </c>
      <c r="AB17" s="17" t="s">
        <v>205</v>
      </c>
    </row>
    <row r="18" spans="1:28" ht="15.75" customHeight="1">
      <c r="B18" s="113"/>
      <c r="C18" s="113"/>
      <c r="D18" s="115"/>
      <c r="E18" s="52" t="s">
        <v>140</v>
      </c>
      <c r="F18" s="100"/>
      <c r="G18" s="100"/>
      <c r="H18" s="117"/>
      <c r="I18" s="117"/>
      <c r="J18" s="117"/>
      <c r="K18" s="117"/>
      <c r="L18" s="117"/>
      <c r="M18" s="117"/>
      <c r="N18" s="117"/>
      <c r="O18" s="117"/>
      <c r="P18" s="117"/>
      <c r="Q18" s="117"/>
      <c r="R18" s="117"/>
      <c r="S18" s="117"/>
      <c r="T18" s="117"/>
      <c r="Y18" s="13" t="s">
        <v>114</v>
      </c>
      <c r="Z18" s="23">
        <v>0.4</v>
      </c>
      <c r="AA18" s="68">
        <v>2328</v>
      </c>
      <c r="AB18" s="17" t="s">
        <v>206</v>
      </c>
    </row>
    <row r="19" spans="1:28" ht="15.75" customHeight="1">
      <c r="B19" s="113"/>
      <c r="C19" s="113"/>
      <c r="D19" s="115"/>
      <c r="E19" s="52" t="s">
        <v>141</v>
      </c>
      <c r="F19" s="100"/>
      <c r="G19" s="100"/>
      <c r="H19" s="117"/>
      <c r="I19" s="117"/>
      <c r="J19" s="117"/>
      <c r="K19" s="117"/>
      <c r="L19" s="117"/>
      <c r="M19" s="117"/>
      <c r="N19" s="117"/>
      <c r="O19" s="117"/>
      <c r="P19" s="117"/>
      <c r="Q19" s="117"/>
      <c r="R19" s="117"/>
      <c r="S19" s="117"/>
      <c r="T19" s="117"/>
      <c r="Y19" s="13" t="s">
        <v>115</v>
      </c>
      <c r="Z19" s="23">
        <v>0.5</v>
      </c>
      <c r="AA19" s="68">
        <v>2170</v>
      </c>
      <c r="AB19" s="17" t="s">
        <v>207</v>
      </c>
    </row>
    <row r="20" spans="1:28" ht="15.75" customHeight="1">
      <c r="B20" s="113"/>
      <c r="C20" s="113"/>
      <c r="D20" s="115"/>
      <c r="E20" s="52" t="s">
        <v>142</v>
      </c>
      <c r="F20" s="100"/>
      <c r="G20" s="100"/>
      <c r="H20" s="117"/>
      <c r="I20" s="117"/>
      <c r="J20" s="117"/>
      <c r="K20" s="117"/>
      <c r="L20" s="117"/>
      <c r="M20" s="117"/>
      <c r="N20" s="117"/>
      <c r="O20" s="117"/>
      <c r="P20" s="117"/>
      <c r="Q20" s="117"/>
      <c r="R20" s="117"/>
      <c r="S20" s="117"/>
      <c r="T20" s="117"/>
      <c r="Y20" s="13" t="s">
        <v>18</v>
      </c>
      <c r="Z20" s="23">
        <v>0.8</v>
      </c>
      <c r="AA20" s="68">
        <v>1200</v>
      </c>
      <c r="AB20" s="17" t="s">
        <v>208</v>
      </c>
    </row>
    <row r="21" spans="1:28" ht="15.75" customHeight="1">
      <c r="B21" s="113"/>
      <c r="C21" s="113"/>
      <c r="D21" s="115"/>
      <c r="E21" s="52" t="s">
        <v>143</v>
      </c>
      <c r="F21" s="100"/>
      <c r="G21" s="100"/>
      <c r="H21" s="117"/>
      <c r="I21" s="117"/>
      <c r="J21" s="117"/>
      <c r="K21" s="117"/>
      <c r="L21" s="117"/>
      <c r="M21" s="117"/>
      <c r="N21" s="117"/>
      <c r="O21" s="117"/>
      <c r="P21" s="117"/>
      <c r="Q21" s="117"/>
      <c r="R21" s="117"/>
      <c r="S21" s="117"/>
      <c r="T21" s="117"/>
      <c r="Y21" s="13" t="s">
        <v>116</v>
      </c>
      <c r="Z21" s="19">
        <v>0.25</v>
      </c>
      <c r="AA21" s="68">
        <v>2131</v>
      </c>
      <c r="AB21" s="17" t="s">
        <v>209</v>
      </c>
    </row>
    <row r="22" spans="1:28" ht="15.75" customHeight="1">
      <c r="B22" s="113"/>
      <c r="C22" s="113"/>
      <c r="D22" s="115"/>
      <c r="E22" s="52" t="s">
        <v>144</v>
      </c>
      <c r="F22" s="100"/>
      <c r="G22" s="100"/>
      <c r="H22" s="117"/>
      <c r="I22" s="117"/>
      <c r="J22" s="117"/>
      <c r="K22" s="117"/>
      <c r="L22" s="117"/>
      <c r="M22" s="117"/>
      <c r="N22" s="117"/>
      <c r="O22" s="117"/>
      <c r="P22" s="117"/>
      <c r="Q22" s="117"/>
      <c r="R22" s="117"/>
      <c r="S22" s="117"/>
      <c r="T22" s="117"/>
      <c r="Y22" s="13" t="s">
        <v>117</v>
      </c>
      <c r="Z22" s="19">
        <v>0.14000000000000001</v>
      </c>
      <c r="AA22" s="68">
        <v>2248</v>
      </c>
      <c r="AB22" s="17" t="s">
        <v>210</v>
      </c>
    </row>
    <row r="23" spans="1:28" ht="15.75" customHeight="1">
      <c r="B23" s="113"/>
      <c r="C23" s="113"/>
      <c r="D23" s="115"/>
      <c r="E23" s="52" t="s">
        <v>161</v>
      </c>
      <c r="F23" s="97"/>
      <c r="G23" s="99"/>
      <c r="H23" s="117"/>
      <c r="I23" s="117"/>
      <c r="J23" s="117"/>
      <c r="K23" s="117"/>
      <c r="L23" s="117"/>
      <c r="M23" s="117"/>
      <c r="N23" s="117"/>
      <c r="O23" s="117"/>
      <c r="P23" s="117"/>
      <c r="Q23" s="117"/>
      <c r="R23" s="117"/>
      <c r="S23" s="117"/>
      <c r="T23" s="117"/>
      <c r="Y23" s="13" t="s">
        <v>118</v>
      </c>
      <c r="Z23" s="19">
        <v>2</v>
      </c>
      <c r="AA23" s="78"/>
      <c r="AB23" s="78"/>
    </row>
    <row r="24" spans="1:28" ht="17.25" customHeight="1" thickBot="1">
      <c r="B24" s="113"/>
      <c r="C24" s="113"/>
      <c r="D24" s="116"/>
      <c r="E24" s="52" t="s">
        <v>162</v>
      </c>
      <c r="F24" s="97"/>
      <c r="G24" s="99"/>
      <c r="H24" s="117"/>
      <c r="I24" s="117"/>
      <c r="J24" s="117"/>
      <c r="K24" s="117"/>
      <c r="L24" s="117"/>
      <c r="M24" s="117"/>
      <c r="N24" s="117"/>
      <c r="O24" s="117"/>
      <c r="P24" s="117"/>
      <c r="Q24" s="117"/>
      <c r="R24" s="117"/>
      <c r="S24" s="117"/>
      <c r="T24" s="117"/>
      <c r="Y24" s="19" t="s">
        <v>164</v>
      </c>
      <c r="AA24" s="78"/>
      <c r="AB24" s="78"/>
    </row>
    <row r="25" spans="1:28" ht="33" customHeight="1">
      <c r="B25" s="70" t="s">
        <v>3</v>
      </c>
      <c r="C25" s="71" t="s">
        <v>0</v>
      </c>
      <c r="D25" s="118" t="s">
        <v>2</v>
      </c>
      <c r="E25" s="119"/>
      <c r="F25" s="119"/>
      <c r="G25" s="119"/>
      <c r="H25" s="120"/>
      <c r="I25" s="120"/>
      <c r="J25" s="121"/>
      <c r="K25" s="72" t="s">
        <v>35</v>
      </c>
      <c r="L25" s="73" t="s">
        <v>1</v>
      </c>
      <c r="M25" s="74" t="s">
        <v>14</v>
      </c>
      <c r="N25" s="74" t="s">
        <v>31</v>
      </c>
      <c r="O25" s="74" t="s">
        <v>155</v>
      </c>
      <c r="P25" s="73" t="s">
        <v>1</v>
      </c>
      <c r="Q25" s="111" t="s">
        <v>36</v>
      </c>
      <c r="R25" s="112"/>
      <c r="S25" s="111" t="s">
        <v>154</v>
      </c>
      <c r="T25" s="112"/>
      <c r="Y25" s="19" t="s">
        <v>119</v>
      </c>
      <c r="AA25" s="78"/>
      <c r="AB25" s="78"/>
    </row>
    <row r="26" spans="1:28" ht="16.5" customHeight="1">
      <c r="A26" s="31"/>
      <c r="B26" s="59" t="s">
        <v>145</v>
      </c>
      <c r="C26" s="60" t="s">
        <v>90</v>
      </c>
      <c r="D26" s="61" t="s">
        <v>102</v>
      </c>
      <c r="E26" s="62">
        <v>70</v>
      </c>
      <c r="F26" s="49"/>
      <c r="G26" s="11" t="s">
        <v>53</v>
      </c>
      <c r="H26" s="12">
        <v>0.1</v>
      </c>
      <c r="I26" s="11" t="s">
        <v>54</v>
      </c>
      <c r="J26" s="12">
        <v>0.1</v>
      </c>
      <c r="K26" s="30" t="str">
        <f>IF(ISERROR(VLOOKUP(C26,DATA!A:I,7,FALSE))=TRUE,"",VLOOKUP(C26,DATA!A:I,7,FALSE))</f>
        <v/>
      </c>
      <c r="L26" s="25" t="str">
        <f>IF(OR(D26="刻字",K26="",D26="M",D26="#",D26="粗糙",D26="平面",E26="THRU"),"待驗",IF(AND(K26&lt;=E26+(H26*0.66),K26&gt;=E26-(J26*0.66)),"合格",IF(AND(K26&lt;=E26+H26,K26&gt;=E26-J26),"特採","異常")))</f>
        <v>待驗</v>
      </c>
      <c r="M26" s="34"/>
      <c r="N26" s="34"/>
      <c r="O26" s="49"/>
      <c r="P26" s="25" t="str">
        <f>IF(AND(K26="",M26="",N26=""),"待驗",IF(OR(L26="合格",L26="特採"),L26,IFERROR(IF(AND(D26="刻字",OR(M26=E26,N26=E26,)),"合格",IF(OR(M26="OK",N26="OK"),"合格",IF(OR(AND(M26&lt;=E26+(H26*0.66),M26&gt;=E26-(J26*0.66)),AND(N26&lt;=E26+(H26*0.66),N26&gt;=E26-(J26*0.66)),AND(O26&lt;=E26+(H26*0.66),O26&gt;=E26-(J26*0.66))),"合格",IF(OR(AND(M26&lt;=E26+H26,M26&gt;=E26-J26),AND(N26&lt;=E26+H26,N26&gt;=E26-J26)),"特採","異常")))),"異常")))</f>
        <v>待驗</v>
      </c>
      <c r="Q26" s="83"/>
      <c r="R26" s="84"/>
      <c r="S26" s="83" t="s">
        <v>131</v>
      </c>
      <c r="T26" s="84"/>
      <c r="Y26" s="19" t="s">
        <v>120</v>
      </c>
      <c r="Z26" s="21" t="s">
        <v>56</v>
      </c>
      <c r="AA26" s="78"/>
      <c r="AB26" s="78"/>
    </row>
    <row r="27" spans="1:28" ht="17">
      <c r="A27" s="31"/>
      <c r="B27" s="59" t="s">
        <v>145</v>
      </c>
      <c r="C27" s="60" t="s">
        <v>91</v>
      </c>
      <c r="D27" s="61" t="s">
        <v>102</v>
      </c>
      <c r="E27" s="62">
        <v>54</v>
      </c>
      <c r="F27" s="49"/>
      <c r="G27" s="11" t="s">
        <v>53</v>
      </c>
      <c r="H27" s="12">
        <v>0.1</v>
      </c>
      <c r="I27" s="11" t="s">
        <v>54</v>
      </c>
      <c r="J27" s="12">
        <v>0.1</v>
      </c>
      <c r="K27" s="30" t="str">
        <f>IF(ISERROR(VLOOKUP(C27,DATA!A:I,7,FALSE))=TRUE,"",VLOOKUP(C27,DATA!A:I,7,FALSE))</f>
        <v/>
      </c>
      <c r="L27" s="25" t="str">
        <f t="shared" ref="L27:L64" si="0">IF(OR(D27="刻字",K27="",D27="M",D27="#",D27="粗糙",D27="平面",E27="THRU"),"待驗",IF(AND(K27&lt;=E27+(H27*0.66),K27&gt;=E27-(J27*0.66)),"合格",IF(AND(K27&lt;=E27+H27,K27&gt;=E27-J27),"特採","異常")))</f>
        <v>待驗</v>
      </c>
      <c r="M27" s="34"/>
      <c r="N27" s="34"/>
      <c r="O27" s="49"/>
      <c r="P27" s="25" t="str">
        <f t="shared" ref="P27:P73" si="1">IF(AND(K27="",M27="",N27=""),"待驗",IF(OR(L27="合格",L27="特採"),L27,IFERROR(IF(AND(D27="刻字",OR(M27=E27,N27=E27,)),"合格",IF(OR(M27="OK",N27="OK"),"合格",IF(OR(AND(M27&lt;=E27+(H27*0.66),M27&gt;=E27-(J27*0.66)),AND(N27&lt;=E27+(H27*0.66),N27&gt;=E27-(J27*0.66)),AND(O27&lt;=E27+(H27*0.66),O27&gt;=E27-(J27*0.66))),"合格",IF(OR(AND(M27&lt;=E27+H27,M27&gt;=E27-J27),AND(N27&lt;=E27+H27,N27&gt;=E27-J27)),"特採","異常")))),"異常")))</f>
        <v>待驗</v>
      </c>
      <c r="Q27" s="83"/>
      <c r="R27" s="84"/>
      <c r="S27" s="83" t="s">
        <v>131</v>
      </c>
      <c r="T27" s="84"/>
      <c r="Y27" s="19" t="s">
        <v>121</v>
      </c>
      <c r="AA27" s="78"/>
      <c r="AB27" s="78"/>
    </row>
    <row r="28" spans="1:28" ht="17">
      <c r="A28" s="31"/>
      <c r="B28" s="59" t="s">
        <v>145</v>
      </c>
      <c r="C28" s="60" t="s">
        <v>79</v>
      </c>
      <c r="D28" s="61" t="s">
        <v>102</v>
      </c>
      <c r="E28" s="62">
        <v>42</v>
      </c>
      <c r="F28" s="49"/>
      <c r="G28" s="11" t="s">
        <v>53</v>
      </c>
      <c r="H28" s="12">
        <v>0.1</v>
      </c>
      <c r="I28" s="11" t="s">
        <v>54</v>
      </c>
      <c r="J28" s="12">
        <v>0.1</v>
      </c>
      <c r="K28" s="30" t="str">
        <f>IF(ISERROR(VLOOKUP(C28,DATA!A:I,7,FALSE))=TRUE,"",VLOOKUP(C28,DATA!A:I,7,FALSE))</f>
        <v/>
      </c>
      <c r="L28" s="25" t="str">
        <f t="shared" ref="L28" si="2">IF(OR(D28="刻字",K28="",D28="M",D28="#",D28="粗糙",D28="平面",E28="THRU"),"待驗",IF(AND(K28&lt;=E28+(H28*0.66),K28&gt;=E28-(J28*0.66)),"合格",IF(AND(K28&lt;=E28+H28,K28&gt;=E28-J28),"特採","異常")))</f>
        <v>待驗</v>
      </c>
      <c r="M28" s="34"/>
      <c r="N28" s="34"/>
      <c r="O28" s="49"/>
      <c r="P28" s="25" t="str">
        <f t="shared" si="1"/>
        <v>待驗</v>
      </c>
      <c r="Q28" s="83"/>
      <c r="R28" s="84"/>
      <c r="S28" s="83" t="s">
        <v>131</v>
      </c>
      <c r="T28" s="84"/>
      <c r="Y28" s="19" t="s">
        <v>134</v>
      </c>
      <c r="AA28" s="78"/>
      <c r="AB28" s="79" t="s">
        <v>211</v>
      </c>
    </row>
    <row r="29" spans="1:28" ht="17">
      <c r="A29" s="31"/>
      <c r="B29" s="59" t="s">
        <v>145</v>
      </c>
      <c r="C29" s="60" t="s">
        <v>80</v>
      </c>
      <c r="D29" s="61" t="s">
        <v>103</v>
      </c>
      <c r="E29" s="62">
        <v>28.4</v>
      </c>
      <c r="F29" s="49"/>
      <c r="G29" s="11" t="s">
        <v>53</v>
      </c>
      <c r="H29" s="12">
        <v>0.05</v>
      </c>
      <c r="I29" s="11" t="s">
        <v>54</v>
      </c>
      <c r="J29" s="12">
        <v>0.05</v>
      </c>
      <c r="K29" s="30" t="str">
        <f>IF(ISERROR(VLOOKUP(C29,DATA!A:I,7,FALSE))=TRUE,"",VLOOKUP(C29,DATA!A:I,7,FALSE))</f>
        <v/>
      </c>
      <c r="L29" s="25" t="str">
        <f t="shared" si="0"/>
        <v>待驗</v>
      </c>
      <c r="M29" s="34"/>
      <c r="N29" s="34"/>
      <c r="O29" s="49"/>
      <c r="P29" s="25" t="str">
        <f t="shared" si="1"/>
        <v>待驗</v>
      </c>
      <c r="Q29" s="83"/>
      <c r="R29" s="84"/>
      <c r="S29" s="83" t="s">
        <v>131</v>
      </c>
      <c r="T29" s="84"/>
      <c r="AA29" s="78"/>
      <c r="AB29" s="79" t="s">
        <v>212</v>
      </c>
    </row>
    <row r="30" spans="1:28" ht="17">
      <c r="A30" s="31"/>
      <c r="B30" s="59" t="s">
        <v>137</v>
      </c>
      <c r="C30" s="60" t="s">
        <v>168</v>
      </c>
      <c r="D30" s="61" t="s">
        <v>150</v>
      </c>
      <c r="E30" s="63" t="s">
        <v>151</v>
      </c>
      <c r="F30" s="49"/>
      <c r="G30" s="11" t="s">
        <v>53</v>
      </c>
      <c r="H30" s="12" t="s">
        <v>54</v>
      </c>
      <c r="I30" s="11" t="s">
        <v>54</v>
      </c>
      <c r="J30" s="12" t="s">
        <v>54</v>
      </c>
      <c r="K30" s="30" t="str">
        <f>IF(ISERROR(VLOOKUP(C30,DATA!A:I,7,FALSE))=TRUE,"",VLOOKUP(C30,DATA!A:I,7,FALSE))</f>
        <v/>
      </c>
      <c r="L30" s="25" t="str">
        <f t="shared" ref="L30:L31" si="3">IF(OR(D30="刻字",K30="",D30="M",D30="#",D30="粗糙",D30="平面",E30="THRU"),"待驗",IF(AND(K30&lt;=E30+(H30*0.66),K30&gt;=E30-(J30*0.66)),"合格",IF(AND(K30&lt;=E30+H30,K30&gt;=E30-J30),"特採","異常")))</f>
        <v>待驗</v>
      </c>
      <c r="M30" s="34"/>
      <c r="N30" s="34"/>
      <c r="O30" s="49"/>
      <c r="P30" s="25" t="str">
        <f t="shared" ref="P30:P31" si="4">IF(AND(K30="",M30="",N30=""),"待驗",IF(OR(L30="合格",L30="特採"),L30,IFERROR(IF(AND(D30="刻字",OR(M30=E30,N30=E30,)),"合格",IF(OR(M30="OK",N30="OK"),"合格",IF(OR(AND(M30&lt;=E30+(H30*0.66),M30&gt;=E30-(J30*0.66)),AND(N30&lt;=E30+(H30*0.66),N30&gt;=E30-(J30*0.66)),AND(O30&lt;=E30+(H30*0.66),O30&gt;=E30-(J30*0.66))),"合格",IF(OR(AND(M30&lt;=E30+H30,M30&gt;=E30-J30),AND(N30&lt;=E30+H30,N30&gt;=E30-J30)),"特採","異常")))),"異常")))</f>
        <v>待驗</v>
      </c>
      <c r="Q30" s="83"/>
      <c r="R30" s="84"/>
      <c r="S30" s="83" t="s">
        <v>130</v>
      </c>
      <c r="T30" s="84"/>
      <c r="AA30" s="78"/>
      <c r="AB30" s="80" t="s">
        <v>213</v>
      </c>
    </row>
    <row r="31" spans="1:28" ht="17">
      <c r="A31" s="31"/>
      <c r="B31" s="59" t="s">
        <v>137</v>
      </c>
      <c r="C31" s="60" t="s">
        <v>168</v>
      </c>
      <c r="D31" s="61" t="s">
        <v>118</v>
      </c>
      <c r="E31" s="62">
        <v>7.5</v>
      </c>
      <c r="F31" s="49"/>
      <c r="G31" s="11" t="s">
        <v>53</v>
      </c>
      <c r="H31" s="12">
        <v>0.5</v>
      </c>
      <c r="I31" s="11" t="s">
        <v>54</v>
      </c>
      <c r="J31" s="12">
        <v>0.1</v>
      </c>
      <c r="K31" s="30" t="str">
        <f>IF(ISERROR(VLOOKUP(C31,DATA!A:I,7,FALSE))=TRUE,"",VLOOKUP(C31,DATA!A:I,7,FALSE))</f>
        <v/>
      </c>
      <c r="L31" s="25" t="str">
        <f t="shared" si="3"/>
        <v>待驗</v>
      </c>
      <c r="M31" s="34"/>
      <c r="N31" s="34"/>
      <c r="O31" s="49"/>
      <c r="P31" s="25" t="str">
        <f t="shared" si="4"/>
        <v>待驗</v>
      </c>
      <c r="Q31" s="83"/>
      <c r="R31" s="84"/>
      <c r="S31" s="83" t="s">
        <v>130</v>
      </c>
      <c r="T31" s="84"/>
      <c r="AA31" s="78"/>
      <c r="AB31" s="79" t="s">
        <v>214</v>
      </c>
    </row>
    <row r="32" spans="1:28" ht="17">
      <c r="A32" s="31"/>
      <c r="B32" s="59" t="s">
        <v>145</v>
      </c>
      <c r="C32" s="60" t="s">
        <v>81</v>
      </c>
      <c r="D32" s="61"/>
      <c r="E32" s="62" t="s">
        <v>152</v>
      </c>
      <c r="F32" s="49"/>
      <c r="G32" s="11" t="s">
        <v>53</v>
      </c>
      <c r="H32" s="12" t="s">
        <v>54</v>
      </c>
      <c r="I32" s="11" t="s">
        <v>54</v>
      </c>
      <c r="J32" s="12" t="s">
        <v>54</v>
      </c>
      <c r="K32" s="30" t="str">
        <f>IF(ISERROR(VLOOKUP(C32,DATA!A:I,7,FALSE))=TRUE,"",VLOOKUP(C32,DATA!A:I,7,FALSE))</f>
        <v/>
      </c>
      <c r="L32" s="25" t="str">
        <f t="shared" si="0"/>
        <v>待驗</v>
      </c>
      <c r="M32" s="34"/>
      <c r="N32" s="34"/>
      <c r="O32" s="49"/>
      <c r="P32" s="25" t="str">
        <f t="shared" si="1"/>
        <v>待驗</v>
      </c>
      <c r="Q32" s="83"/>
      <c r="R32" s="84"/>
      <c r="S32" s="83" t="s">
        <v>124</v>
      </c>
      <c r="T32" s="84"/>
      <c r="AA32" s="78"/>
      <c r="AB32" s="79" t="s">
        <v>215</v>
      </c>
    </row>
    <row r="33" spans="1:28" ht="17">
      <c r="A33" s="31"/>
      <c r="B33" s="59" t="s">
        <v>145</v>
      </c>
      <c r="C33" s="60" t="s">
        <v>82</v>
      </c>
      <c r="D33" s="61" t="s">
        <v>102</v>
      </c>
      <c r="E33" s="62">
        <v>30.5</v>
      </c>
      <c r="F33" s="49"/>
      <c r="G33" s="11" t="s">
        <v>53</v>
      </c>
      <c r="H33" s="12">
        <v>0.05</v>
      </c>
      <c r="I33" s="11" t="s">
        <v>54</v>
      </c>
      <c r="J33" s="12">
        <v>0.02</v>
      </c>
      <c r="K33" s="30" t="str">
        <f>IF(ISERROR(VLOOKUP(C33,DATA!A:I,7,FALSE))=TRUE,"",VLOOKUP(C33,DATA!A:I,7,FALSE))</f>
        <v/>
      </c>
      <c r="L33" s="25" t="str">
        <f t="shared" si="0"/>
        <v>待驗</v>
      </c>
      <c r="M33" s="34"/>
      <c r="N33" s="34"/>
      <c r="O33" s="49"/>
      <c r="P33" s="25" t="str">
        <f t="shared" si="1"/>
        <v>待驗</v>
      </c>
      <c r="Q33" s="83"/>
      <c r="R33" s="84"/>
      <c r="S33" s="83" t="s">
        <v>131</v>
      </c>
      <c r="T33" s="84"/>
      <c r="AA33" s="78"/>
      <c r="AB33" s="79" t="s">
        <v>216</v>
      </c>
    </row>
    <row r="34" spans="1:28">
      <c r="A34" s="32"/>
      <c r="B34" s="59" t="s">
        <v>145</v>
      </c>
      <c r="C34" s="60" t="s">
        <v>83</v>
      </c>
      <c r="D34" s="61"/>
      <c r="E34" s="62">
        <v>31</v>
      </c>
      <c r="F34" s="49"/>
      <c r="G34" s="11" t="s">
        <v>53</v>
      </c>
      <c r="H34" s="12">
        <v>0.05</v>
      </c>
      <c r="I34" s="11" t="s">
        <v>54</v>
      </c>
      <c r="J34" s="12">
        <v>0.05</v>
      </c>
      <c r="K34" s="30" t="str">
        <f>IF(ISERROR(VLOOKUP(C34,DATA!A:I,7,FALSE))=TRUE,"",VLOOKUP(C34,DATA!A:I,7,FALSE))</f>
        <v/>
      </c>
      <c r="L34" s="25" t="str">
        <f t="shared" si="0"/>
        <v>待驗</v>
      </c>
      <c r="M34" s="34"/>
      <c r="N34" s="34"/>
      <c r="O34" s="49"/>
      <c r="P34" s="25" t="str">
        <f t="shared" si="1"/>
        <v>待驗</v>
      </c>
      <c r="Q34" s="83"/>
      <c r="R34" s="84"/>
      <c r="S34" s="83" t="s">
        <v>131</v>
      </c>
      <c r="T34" s="84"/>
      <c r="W34" s="68"/>
    </row>
    <row r="35" spans="1:28">
      <c r="A35" s="31"/>
      <c r="B35" s="59" t="s">
        <v>145</v>
      </c>
      <c r="C35" s="60" t="s">
        <v>63</v>
      </c>
      <c r="D35" s="61" t="s">
        <v>101</v>
      </c>
      <c r="E35" s="62">
        <v>1.6</v>
      </c>
      <c r="F35" s="49"/>
      <c r="G35" s="11" t="s">
        <v>53</v>
      </c>
      <c r="H35" s="12">
        <v>0.05</v>
      </c>
      <c r="I35" s="11" t="s">
        <v>54</v>
      </c>
      <c r="J35" s="12">
        <v>0</v>
      </c>
      <c r="K35" s="30" t="str">
        <f>IF(ISERROR(VLOOKUP(C35,DATA!A:I,7,FALSE))=TRUE,"",VLOOKUP(C35,DATA!A:I,7,FALSE))</f>
        <v/>
      </c>
      <c r="L35" s="25" t="str">
        <f t="shared" si="0"/>
        <v>待驗</v>
      </c>
      <c r="M35" s="34"/>
      <c r="N35" s="34"/>
      <c r="O35" s="49"/>
      <c r="P35" s="25" t="str">
        <f t="shared" si="1"/>
        <v>待驗</v>
      </c>
      <c r="Q35" s="83"/>
      <c r="R35" s="84"/>
      <c r="S35" s="83" t="s">
        <v>131</v>
      </c>
      <c r="T35" s="84"/>
    </row>
    <row r="36" spans="1:28">
      <c r="A36" s="32"/>
      <c r="B36" s="59" t="s">
        <v>137</v>
      </c>
      <c r="C36" s="60" t="s">
        <v>166</v>
      </c>
      <c r="D36" s="61" t="s">
        <v>150</v>
      </c>
      <c r="E36" s="63" t="s">
        <v>151</v>
      </c>
      <c r="F36" s="49"/>
      <c r="G36" s="11" t="s">
        <v>53</v>
      </c>
      <c r="H36" s="12" t="s">
        <v>54</v>
      </c>
      <c r="I36" s="11" t="s">
        <v>54</v>
      </c>
      <c r="J36" s="12" t="s">
        <v>54</v>
      </c>
      <c r="K36" s="30" t="str">
        <f>IF(ISERROR(VLOOKUP(C36,DATA!A:I,7,FALSE))=TRUE,"",VLOOKUP(C36,DATA!A:I,7,FALSE))</f>
        <v/>
      </c>
      <c r="L36" s="25" t="str">
        <f t="shared" si="0"/>
        <v>待驗</v>
      </c>
      <c r="M36" s="34"/>
      <c r="N36" s="34"/>
      <c r="O36" s="49"/>
      <c r="P36" s="25" t="str">
        <f t="shared" si="1"/>
        <v>待驗</v>
      </c>
      <c r="Q36" s="83"/>
      <c r="R36" s="84"/>
      <c r="S36" s="83" t="s">
        <v>130</v>
      </c>
      <c r="T36" s="84"/>
    </row>
    <row r="37" spans="1:28">
      <c r="A37" s="32"/>
      <c r="B37" s="59" t="s">
        <v>137</v>
      </c>
      <c r="C37" s="60" t="s">
        <v>84</v>
      </c>
      <c r="D37" s="61" t="s">
        <v>118</v>
      </c>
      <c r="E37" s="62">
        <v>8</v>
      </c>
      <c r="F37" s="49"/>
      <c r="G37" s="11" t="s">
        <v>53</v>
      </c>
      <c r="H37" s="12">
        <v>0.5</v>
      </c>
      <c r="I37" s="11" t="s">
        <v>54</v>
      </c>
      <c r="J37" s="12">
        <v>0.1</v>
      </c>
      <c r="K37" s="30" t="str">
        <f>IF(ISERROR(VLOOKUP(C37,DATA!A:I,7,FALSE))=TRUE,"",VLOOKUP(C37,DATA!A:I,7,FALSE))</f>
        <v/>
      </c>
      <c r="L37" s="25" t="str">
        <f t="shared" ref="L37" si="5">IF(OR(D37="刻字",K37="",D37="M",D37="#",D37="粗糙",D37="平面",E37="THRU"),"待驗",IF(AND(K37&lt;=E37+(H37*0.66),K37&gt;=E37-(J37*0.66)),"合格",IF(AND(K37&lt;=E37+H37,K37&gt;=E37-J37),"特採","異常")))</f>
        <v>待驗</v>
      </c>
      <c r="M37" s="34"/>
      <c r="N37" s="34"/>
      <c r="O37" s="49"/>
      <c r="P37" s="25" t="str">
        <f t="shared" ref="P37" si="6">IF(AND(K37="",M37="",N37=""),"待驗",IF(OR(L37="合格",L37="特採"),L37,IFERROR(IF(AND(D37="刻字",OR(M37=E37,N37=E37,)),"合格",IF(OR(M37="OK",N37="OK"),"合格",IF(OR(AND(M37&lt;=E37+(H37*0.66),M37&gt;=E37-(J37*0.66)),AND(N37&lt;=E37+(H37*0.66),N37&gt;=E37-(J37*0.66)),AND(O37&lt;=E37+(H37*0.66),O37&gt;=E37-(J37*0.66))),"合格",IF(OR(AND(M37&lt;=E37+H37,M37&gt;=E37-J37),AND(N37&lt;=E37+H37,N37&gt;=E37-J37)),"特採","異常")))),"異常")))</f>
        <v>待驗</v>
      </c>
      <c r="Q37" s="81"/>
      <c r="R37" s="82"/>
      <c r="S37" s="83" t="s">
        <v>130</v>
      </c>
      <c r="T37" s="84"/>
    </row>
    <row r="38" spans="1:28">
      <c r="A38" s="31"/>
      <c r="B38" s="59" t="s">
        <v>145</v>
      </c>
      <c r="C38" s="60" t="s">
        <v>64</v>
      </c>
      <c r="D38" s="61" t="s">
        <v>101</v>
      </c>
      <c r="E38" s="62">
        <v>6</v>
      </c>
      <c r="F38" s="49"/>
      <c r="G38" s="11" t="s">
        <v>53</v>
      </c>
      <c r="H38" s="12">
        <v>0.05</v>
      </c>
      <c r="I38" s="11" t="s">
        <v>54</v>
      </c>
      <c r="J38" s="12">
        <v>0.05</v>
      </c>
      <c r="K38" s="30" t="str">
        <f>IF(ISERROR(VLOOKUP(C38,DATA!A:I,7,FALSE))=TRUE,"",VLOOKUP(C38,DATA!A:I,7,FALSE))</f>
        <v/>
      </c>
      <c r="L38" s="25" t="str">
        <f t="shared" si="0"/>
        <v>待驗</v>
      </c>
      <c r="M38" s="34"/>
      <c r="N38" s="34"/>
      <c r="O38" s="49"/>
      <c r="P38" s="25" t="str">
        <f t="shared" si="1"/>
        <v>待驗</v>
      </c>
      <c r="Q38" s="81" t="s">
        <v>165</v>
      </c>
      <c r="R38" s="82"/>
      <c r="S38" s="83" t="s">
        <v>167</v>
      </c>
      <c r="T38" s="84"/>
    </row>
    <row r="39" spans="1:28">
      <c r="A39" s="32"/>
      <c r="B39" s="59" t="s">
        <v>145</v>
      </c>
      <c r="C39" s="60" t="s">
        <v>64</v>
      </c>
      <c r="D39" s="61"/>
      <c r="E39" s="62" t="s">
        <v>146</v>
      </c>
      <c r="F39" s="49"/>
      <c r="G39" s="11" t="s">
        <v>53</v>
      </c>
      <c r="H39" s="12" t="s">
        <v>54</v>
      </c>
      <c r="I39" s="11" t="s">
        <v>54</v>
      </c>
      <c r="J39" s="12" t="s">
        <v>54</v>
      </c>
      <c r="K39" s="30" t="str">
        <f>IF(ISERROR(VLOOKUP(C39,DATA!A:I,7,FALSE))=TRUE,"",VLOOKUP(C39,DATA!A:I,7,FALSE))</f>
        <v/>
      </c>
      <c r="L39" s="25" t="str">
        <f t="shared" ref="L39" si="7">IF(OR(D39="刻字",K39="",D39="M",D39="#",D39="粗糙",D39="平面",E39="THRU"),"待驗",IF(AND(K39&lt;=E39+(H39*0.66),K39&gt;=E39-(J39*0.66)),"合格",IF(AND(K39&lt;=E39+H39,K39&gt;=E39-J39),"特採","異常")))</f>
        <v>待驗</v>
      </c>
      <c r="M39" s="34"/>
      <c r="N39" s="34"/>
      <c r="O39" s="49"/>
      <c r="P39" s="25" t="str">
        <f t="shared" ref="P39" si="8">IF(AND(K39="",M39="",N39=""),"待驗",IF(OR(L39="合格",L39="特採"),L39,IFERROR(IF(AND(D39="刻字",OR(M39=E39,N39=E39,)),"合格",IF(OR(M39="OK",N39="OK"),"合格",IF(OR(AND(M39&lt;=E39+(H39*0.66),M39&gt;=E39-(J39*0.66)),AND(N39&lt;=E39+(H39*0.66),N39&gt;=E39-(J39*0.66)),AND(O39&lt;=E39+(H39*0.66),O39&gt;=E39-(J39*0.66))),"合格",IF(OR(AND(M39&lt;=E39+H39,M39&gt;=E39-J39),AND(N39&lt;=E39+H39,N39&gt;=E39-J39)),"特採","異常")))),"異常")))</f>
        <v>待驗</v>
      </c>
      <c r="Q39" s="81"/>
      <c r="R39" s="82"/>
      <c r="S39" s="83" t="s">
        <v>167</v>
      </c>
      <c r="T39" s="84"/>
    </row>
    <row r="40" spans="1:28">
      <c r="A40" s="32"/>
      <c r="B40" s="59" t="s">
        <v>145</v>
      </c>
      <c r="C40" s="60" t="s">
        <v>85</v>
      </c>
      <c r="D40" s="61" t="s">
        <v>116</v>
      </c>
      <c r="E40" s="62" t="s">
        <v>147</v>
      </c>
      <c r="F40" s="49"/>
      <c r="G40" s="11" t="s">
        <v>53</v>
      </c>
      <c r="H40" s="12">
        <v>0.01</v>
      </c>
      <c r="I40" s="11" t="s">
        <v>54</v>
      </c>
      <c r="J40" s="12">
        <v>0.01</v>
      </c>
      <c r="K40" s="30" t="str">
        <f>IF(ISERROR(VLOOKUP(C40,DATA!A:I,7,FALSE))=TRUE,"",VLOOKUP(C40,DATA!A:I,7,FALSE))</f>
        <v/>
      </c>
      <c r="L40" s="25" t="str">
        <f t="shared" si="0"/>
        <v>待驗</v>
      </c>
      <c r="M40" s="34"/>
      <c r="N40" s="34"/>
      <c r="O40" s="49"/>
      <c r="P40" s="25" t="str">
        <f t="shared" si="1"/>
        <v>待驗</v>
      </c>
      <c r="Q40" s="81"/>
      <c r="R40" s="82"/>
      <c r="S40" s="83" t="s">
        <v>130</v>
      </c>
      <c r="T40" s="84"/>
    </row>
    <row r="41" spans="1:28">
      <c r="A41" s="31"/>
      <c r="B41" s="59" t="s">
        <v>145</v>
      </c>
      <c r="C41" s="60" t="s">
        <v>85</v>
      </c>
      <c r="D41" s="61"/>
      <c r="E41" s="62" t="s">
        <v>146</v>
      </c>
      <c r="F41" s="49"/>
      <c r="G41" s="11" t="s">
        <v>53</v>
      </c>
      <c r="H41" s="12">
        <v>0.01</v>
      </c>
      <c r="I41" s="11" t="s">
        <v>54</v>
      </c>
      <c r="J41" s="12">
        <v>0.01</v>
      </c>
      <c r="K41" s="30" t="str">
        <f>IF(ISERROR(VLOOKUP(C41,DATA!A:I,7,FALSE))=TRUE,"",VLOOKUP(C41,DATA!A:I,7,FALSE))</f>
        <v/>
      </c>
      <c r="L41" s="25" t="str">
        <f t="shared" ref="L41" si="9">IF(OR(D41="刻字",K41="",D41="M",D41="#",D41="粗糙",D41="平面",E41="THRU"),"待驗",IF(AND(K41&lt;=E41+(H41*0.66),K41&gt;=E41-(J41*0.66)),"合格",IF(AND(K41&lt;=E41+H41,K41&gt;=E41-J41),"特採","異常")))</f>
        <v>待驗</v>
      </c>
      <c r="M41" s="34"/>
      <c r="N41" s="34"/>
      <c r="O41" s="49"/>
      <c r="P41" s="25" t="str">
        <f t="shared" ref="P41" si="10">IF(AND(K41="",M41="",N41=""),"待驗",IF(OR(L41="合格",L41="特採"),L41,IFERROR(IF(AND(D41="刻字",OR(M41=E41,N41=E41,)),"合格",IF(OR(M41="OK",N41="OK"),"合格",IF(OR(AND(M41&lt;=E41+(H41*0.66),M41&gt;=E41-(J41*0.66)),AND(N41&lt;=E41+(H41*0.66),N41&gt;=E41-(J41*0.66)),AND(O41&lt;=E41+(H41*0.66),O41&gt;=E41-(J41*0.66))),"合格",IF(OR(AND(M41&lt;=E41+H41,M41&gt;=E41-J41),AND(N41&lt;=E41+H41,N41&gt;=E41-J41)),"特採","異常")))),"異常")))</f>
        <v>待驗</v>
      </c>
      <c r="Q41" s="81"/>
      <c r="R41" s="82"/>
      <c r="S41" s="83" t="s">
        <v>130</v>
      </c>
      <c r="T41" s="84"/>
    </row>
    <row r="42" spans="1:28">
      <c r="A42" s="32"/>
      <c r="B42" s="59" t="s">
        <v>145</v>
      </c>
      <c r="C42" s="60" t="s">
        <v>86</v>
      </c>
      <c r="D42" s="61" t="s">
        <v>102</v>
      </c>
      <c r="E42" s="62">
        <v>84</v>
      </c>
      <c r="F42" s="49"/>
      <c r="G42" s="11" t="s">
        <v>53</v>
      </c>
      <c r="H42" s="12">
        <v>0.1</v>
      </c>
      <c r="I42" s="11" t="s">
        <v>54</v>
      </c>
      <c r="J42" s="12">
        <v>0.1</v>
      </c>
      <c r="K42" s="30" t="str">
        <f>IF(ISERROR(VLOOKUP(C42,DATA!A:I,7,FALSE))=TRUE,"",VLOOKUP(C42,DATA!A:I,7,FALSE))</f>
        <v/>
      </c>
      <c r="L42" s="25" t="str">
        <f t="shared" si="0"/>
        <v>待驗</v>
      </c>
      <c r="M42" s="34"/>
      <c r="N42" s="34"/>
      <c r="O42" s="49"/>
      <c r="P42" s="25" t="str">
        <f t="shared" si="1"/>
        <v>待驗</v>
      </c>
      <c r="Q42" s="81"/>
      <c r="R42" s="82"/>
      <c r="S42" s="83" t="s">
        <v>131</v>
      </c>
      <c r="T42" s="84"/>
    </row>
    <row r="43" spans="1:28" s="68" customFormat="1">
      <c r="A43" s="32"/>
      <c r="B43" s="59" t="s">
        <v>137</v>
      </c>
      <c r="C43" s="60" t="s">
        <v>160</v>
      </c>
      <c r="D43" s="61" t="s">
        <v>102</v>
      </c>
      <c r="E43" s="62">
        <v>2</v>
      </c>
      <c r="F43" s="49"/>
      <c r="G43" s="11" t="s">
        <v>53</v>
      </c>
      <c r="H43" s="12">
        <v>0.05</v>
      </c>
      <c r="I43" s="11" t="s">
        <v>54</v>
      </c>
      <c r="J43" s="12">
        <v>0.05</v>
      </c>
      <c r="K43" s="30"/>
      <c r="L43" s="25"/>
      <c r="M43" s="34"/>
      <c r="N43" s="34"/>
      <c r="O43" s="49"/>
      <c r="P43" s="25" t="str">
        <f t="shared" si="1"/>
        <v>待驗</v>
      </c>
      <c r="Q43" s="65"/>
      <c r="R43" s="66"/>
      <c r="S43" s="83" t="s">
        <v>131</v>
      </c>
      <c r="T43" s="84"/>
    </row>
    <row r="44" spans="1:28">
      <c r="A44" s="31"/>
      <c r="B44" s="53" t="s">
        <v>148</v>
      </c>
      <c r="C44" s="54" t="s">
        <v>169</v>
      </c>
      <c r="D44" s="55" t="s">
        <v>149</v>
      </c>
      <c r="E44" s="56">
        <v>383.5</v>
      </c>
      <c r="F44" s="57"/>
      <c r="G44" s="11" t="s">
        <v>53</v>
      </c>
      <c r="H44" s="12">
        <v>0.02</v>
      </c>
      <c r="I44" s="11" t="s">
        <v>54</v>
      </c>
      <c r="J44" s="12">
        <v>0.02</v>
      </c>
      <c r="K44" s="30" t="str">
        <f>IF(ISERROR(VLOOKUP(C44,DATA!A:I,7,FALSE))=TRUE,"",VLOOKUP(C44,DATA!A:I,7,FALSE))</f>
        <v/>
      </c>
      <c r="L44" s="25" t="str">
        <f t="shared" si="0"/>
        <v>待驗</v>
      </c>
      <c r="M44" s="34"/>
      <c r="N44" s="34"/>
      <c r="O44" s="49"/>
      <c r="P44" s="25" t="str">
        <f t="shared" si="1"/>
        <v>待驗</v>
      </c>
      <c r="Q44" s="81"/>
      <c r="R44" s="82"/>
      <c r="S44" s="83" t="s">
        <v>131</v>
      </c>
      <c r="T44" s="84"/>
    </row>
    <row r="45" spans="1:28">
      <c r="A45" s="31"/>
      <c r="B45" s="53" t="s">
        <v>148</v>
      </c>
      <c r="C45" s="54" t="s">
        <v>178</v>
      </c>
      <c r="D45" s="55" t="s">
        <v>150</v>
      </c>
      <c r="E45" s="58" t="s">
        <v>151</v>
      </c>
      <c r="F45" s="57"/>
      <c r="G45" s="11" t="s">
        <v>53</v>
      </c>
      <c r="H45" s="12" t="s">
        <v>54</v>
      </c>
      <c r="I45" s="11" t="s">
        <v>54</v>
      </c>
      <c r="J45" s="12" t="s">
        <v>54</v>
      </c>
      <c r="K45" s="30" t="str">
        <f>IF(ISERROR(VLOOKUP(C45,DATA!A:I,7,FALSE))=TRUE,"",VLOOKUP(C45,DATA!A:I,7,FALSE))</f>
        <v/>
      </c>
      <c r="L45" s="25" t="str">
        <f t="shared" ref="L45" si="11">IF(OR(D45="刻字",K45="",D45="M",D45="#",D45="粗糙",D45="平面",E45="THRU"),"待驗",IF(AND(K45&lt;=E45+(H45*0.66),K45&gt;=E45-(J45*0.66)),"合格",IF(AND(K45&lt;=E45+H45,K45&gt;=E45-J45),"特採","異常")))</f>
        <v>待驗</v>
      </c>
      <c r="M45" s="34"/>
      <c r="N45" s="34"/>
      <c r="O45" s="49"/>
      <c r="P45" s="25" t="str">
        <f t="shared" si="1"/>
        <v>待驗</v>
      </c>
      <c r="Q45" s="83"/>
      <c r="R45" s="84"/>
      <c r="S45" s="83" t="s">
        <v>130</v>
      </c>
      <c r="T45" s="84"/>
    </row>
    <row r="46" spans="1:28">
      <c r="A46" s="32"/>
      <c r="B46" s="53" t="s">
        <v>148</v>
      </c>
      <c r="C46" s="54" t="s">
        <v>178</v>
      </c>
      <c r="D46" s="55"/>
      <c r="E46" s="56">
        <v>7</v>
      </c>
      <c r="F46" s="57" t="s">
        <v>18</v>
      </c>
      <c r="G46" s="11" t="s">
        <v>53</v>
      </c>
      <c r="H46" s="12">
        <v>0.5</v>
      </c>
      <c r="I46" s="11" t="s">
        <v>54</v>
      </c>
      <c r="J46" s="12">
        <v>0.1</v>
      </c>
      <c r="K46" s="30"/>
      <c r="L46" s="25"/>
      <c r="M46" s="34"/>
      <c r="N46" s="34"/>
      <c r="O46" s="49"/>
      <c r="P46" s="25" t="str">
        <f t="shared" si="1"/>
        <v>待驗</v>
      </c>
      <c r="Q46" s="64"/>
      <c r="R46" s="75"/>
      <c r="S46" s="83" t="s">
        <v>122</v>
      </c>
      <c r="T46" s="84"/>
    </row>
    <row r="47" spans="1:28">
      <c r="A47" s="31"/>
      <c r="B47" s="53" t="s">
        <v>138</v>
      </c>
      <c r="C47" s="54" t="s">
        <v>178</v>
      </c>
      <c r="D47" s="55"/>
      <c r="E47" s="58" t="s">
        <v>152</v>
      </c>
      <c r="F47" s="57"/>
      <c r="G47" s="11" t="s">
        <v>53</v>
      </c>
      <c r="H47" s="12" t="s">
        <v>54</v>
      </c>
      <c r="I47" s="11" t="s">
        <v>54</v>
      </c>
      <c r="J47" s="12" t="s">
        <v>54</v>
      </c>
      <c r="K47" s="30"/>
      <c r="L47" s="25"/>
      <c r="M47" s="34"/>
      <c r="N47" s="34"/>
      <c r="O47" s="49"/>
      <c r="P47" s="25" t="str">
        <f t="shared" si="1"/>
        <v>待驗</v>
      </c>
      <c r="Q47" s="64"/>
      <c r="R47" s="75"/>
      <c r="S47" s="83" t="s">
        <v>124</v>
      </c>
      <c r="T47" s="84"/>
    </row>
    <row r="48" spans="1:28" s="68" customFormat="1">
      <c r="A48" s="31"/>
      <c r="B48" s="53" t="s">
        <v>138</v>
      </c>
      <c r="C48" s="54" t="s">
        <v>179</v>
      </c>
      <c r="D48" s="55" t="s">
        <v>104</v>
      </c>
      <c r="E48" s="56">
        <v>7</v>
      </c>
      <c r="F48" s="57"/>
      <c r="G48" s="11" t="s">
        <v>53</v>
      </c>
      <c r="H48" s="12">
        <v>3</v>
      </c>
      <c r="I48" s="11" t="s">
        <v>54</v>
      </c>
      <c r="J48" s="12">
        <v>0</v>
      </c>
      <c r="K48" s="30" t="str">
        <f>IF(ISERROR(VLOOKUP(C48,DATA!A:I,7,FALSE))=TRUE,"",VLOOKUP(C48,DATA!A:I,7,FALSE))</f>
        <v/>
      </c>
      <c r="L48" s="25" t="str">
        <f>IF(OR(D48="刻字",K48="",D48="M",D48="#",D48="粗糙",D48="平面",E48="THRU"),"待驗",IF(AND(K48&lt;=E48+(H48*0.66),K48&gt;=E48-(J48*0.66)),"合格",IF(AND(K48&lt;=E48+H48,K48&gt;=E48-J48),"特採","異常")))</f>
        <v>待驗</v>
      </c>
      <c r="M48" s="34"/>
      <c r="N48" s="34"/>
      <c r="O48" s="49"/>
      <c r="P48" s="25" t="str">
        <f>IF(AND(K48="",M48="",N48=""),"待驗",IF(OR(L48="合格",L48="特採"),L48,IFERROR(IF(AND(D48="刻字",OR(M48=E48,N48=E48,)),"合格",IF(OR(M48="OK",N48="OK"),"合格",IF(OR(AND(M48&lt;=E48+(H48*0.66),M48&gt;=E48-(J48*0.66)),AND(N48&lt;=E48+(H48*0.66),N48&gt;=E48-(J48*0.66)),AND(O48&lt;=E48+(H48*0.66),O48&gt;=E48-(J48*0.66))),"合格",IF(OR(AND(M48&lt;=E48+H48,M48&gt;=E48-J48),AND(N48&lt;=E48+H48,N48&gt;=E48-J48)),"特採","異常")))),"異常")))</f>
        <v>待驗</v>
      </c>
      <c r="Q48" s="81"/>
      <c r="R48" s="82"/>
      <c r="S48" s="83" t="s">
        <v>128</v>
      </c>
      <c r="T48" s="84"/>
    </row>
    <row r="49" spans="1:20" s="68" customFormat="1">
      <c r="A49" s="31"/>
      <c r="B49" s="53" t="s">
        <v>138</v>
      </c>
      <c r="C49" s="54" t="s">
        <v>180</v>
      </c>
      <c r="D49" s="55" t="s">
        <v>104</v>
      </c>
      <c r="E49" s="56">
        <v>13</v>
      </c>
      <c r="F49" s="57"/>
      <c r="G49" s="11" t="s">
        <v>53</v>
      </c>
      <c r="H49" s="12">
        <v>0.2</v>
      </c>
      <c r="I49" s="11" t="s">
        <v>54</v>
      </c>
      <c r="J49" s="12">
        <v>0.2</v>
      </c>
      <c r="K49" s="30" t="str">
        <f>IF(ISERROR(VLOOKUP(C49,DATA!A:I,7,FALSE))=TRUE,"",VLOOKUP(C49,DATA!A:I,7,FALSE))</f>
        <v/>
      </c>
      <c r="L49" s="25" t="str">
        <f t="shared" si="0"/>
        <v>待驗</v>
      </c>
      <c r="M49" s="34"/>
      <c r="N49" s="34"/>
      <c r="O49" s="49"/>
      <c r="P49" s="25" t="str">
        <f t="shared" si="1"/>
        <v>待驗</v>
      </c>
      <c r="Q49" s="81"/>
      <c r="R49" s="82"/>
      <c r="S49" s="83" t="s">
        <v>128</v>
      </c>
      <c r="T49" s="84"/>
    </row>
    <row r="50" spans="1:20">
      <c r="A50" s="31"/>
      <c r="B50" s="53" t="s">
        <v>148</v>
      </c>
      <c r="C50" s="54" t="s">
        <v>87</v>
      </c>
      <c r="D50" s="55" t="s">
        <v>102</v>
      </c>
      <c r="E50" s="56">
        <v>2.0499999999999998</v>
      </c>
      <c r="F50" s="57"/>
      <c r="G50" s="11" t="s">
        <v>53</v>
      </c>
      <c r="H50" s="12">
        <v>0.02</v>
      </c>
      <c r="I50" s="11" t="s">
        <v>54</v>
      </c>
      <c r="J50" s="12">
        <v>0.02</v>
      </c>
      <c r="K50" s="30" t="str">
        <f>IF(ISERROR(VLOOKUP(C50,DATA!A:I,7,FALSE))=TRUE,"",VLOOKUP(C50,DATA!A:I,7,FALSE))</f>
        <v/>
      </c>
      <c r="L50" s="25" t="str">
        <f t="shared" si="0"/>
        <v>待驗</v>
      </c>
      <c r="M50" s="34"/>
      <c r="N50" s="34"/>
      <c r="O50" s="49"/>
      <c r="P50" s="25" t="str">
        <f t="shared" si="1"/>
        <v>待驗</v>
      </c>
      <c r="Q50" s="81"/>
      <c r="R50" s="82"/>
      <c r="S50" s="83" t="s">
        <v>131</v>
      </c>
      <c r="T50" s="84"/>
    </row>
    <row r="51" spans="1:20">
      <c r="A51" s="32"/>
      <c r="B51" s="53" t="s">
        <v>148</v>
      </c>
      <c r="C51" s="54" t="s">
        <v>181</v>
      </c>
      <c r="D51" s="55" t="s">
        <v>102</v>
      </c>
      <c r="E51" s="56">
        <v>8</v>
      </c>
      <c r="F51" s="57"/>
      <c r="G51" s="11" t="s">
        <v>53</v>
      </c>
      <c r="H51" s="12">
        <v>0.1</v>
      </c>
      <c r="I51" s="11" t="s">
        <v>54</v>
      </c>
      <c r="J51" s="12">
        <v>0.1</v>
      </c>
      <c r="K51" s="30" t="str">
        <f>IF(ISERROR(VLOOKUP(C51,DATA!A:I,7,FALSE))=TRUE,"",VLOOKUP(C51,DATA!A:I,7,FALSE))</f>
        <v/>
      </c>
      <c r="L51" s="25" t="str">
        <f>IF(OR(D51="刻字",K51="",D51="M",D51="#",D51="粗糙",D51="平面",E51="THRU"),"待驗",IF(AND(K51&lt;=E51+(H51*0.66),K51&gt;=E51-(J51*0.66)),"合格",IF(AND(K51&lt;=E51+H51,K51&gt;=E51-J51),"特採","異常")))</f>
        <v>待驗</v>
      </c>
      <c r="M51" s="34"/>
      <c r="N51" s="34"/>
      <c r="O51" s="49"/>
      <c r="P51" s="25" t="str">
        <f>IF(AND(K51="",M51="",N51=""),"待驗",IF(OR(L51="合格",L51="特採"),L51,IFERROR(IF(AND(D51="刻字",OR(M51=E51,N51=E51,)),"合格",IF(OR(M51="OK",N51="OK"),"合格",IF(OR(AND(M51&lt;=E51+(H51*0.66),M51&gt;=E51-(J51*0.66)),AND(N51&lt;=E51+(H51*0.66),N51&gt;=E51-(J51*0.66)),AND(O51&lt;=E51+(H51*0.66),O51&gt;=E51-(J51*0.66))),"合格",IF(OR(AND(M51&lt;=E51+H51,M51&gt;=E51-J51),AND(N51&lt;=E51+H51,N51&gt;=E51-J51)),"特採","異常")))),"異常")))</f>
        <v>待驗</v>
      </c>
      <c r="Q51" s="81"/>
      <c r="R51" s="82"/>
      <c r="S51" s="83" t="s">
        <v>131</v>
      </c>
      <c r="T51" s="84"/>
    </row>
    <row r="52" spans="1:20">
      <c r="A52" s="32"/>
      <c r="B52" s="53" t="s">
        <v>148</v>
      </c>
      <c r="C52" s="54" t="s">
        <v>88</v>
      </c>
      <c r="D52" s="55" t="s">
        <v>102</v>
      </c>
      <c r="E52" s="56">
        <v>16</v>
      </c>
      <c r="F52" s="57"/>
      <c r="G52" s="11" t="s">
        <v>53</v>
      </c>
      <c r="H52" s="12">
        <v>0.1</v>
      </c>
      <c r="I52" s="11" t="s">
        <v>54</v>
      </c>
      <c r="J52" s="12">
        <v>0.1</v>
      </c>
      <c r="K52" s="30" t="str">
        <f>IF(ISERROR(VLOOKUP(C52,DATA!A:I,7,FALSE))=TRUE,"",VLOOKUP(C52,DATA!A:I,7,FALSE))</f>
        <v/>
      </c>
      <c r="L52" s="25" t="str">
        <f t="shared" si="0"/>
        <v>待驗</v>
      </c>
      <c r="M52" s="34"/>
      <c r="N52" s="34"/>
      <c r="O52" s="49"/>
      <c r="P52" s="25" t="str">
        <f t="shared" si="1"/>
        <v>待驗</v>
      </c>
      <c r="Q52" s="81"/>
      <c r="R52" s="82"/>
      <c r="S52" s="83" t="s">
        <v>131</v>
      </c>
      <c r="T52" s="84"/>
    </row>
    <row r="53" spans="1:20">
      <c r="A53" s="31"/>
      <c r="B53" s="53" t="s">
        <v>148</v>
      </c>
      <c r="C53" s="54" t="s">
        <v>188</v>
      </c>
      <c r="D53" s="55" t="s">
        <v>102</v>
      </c>
      <c r="E53" s="56">
        <v>8</v>
      </c>
      <c r="F53" s="57"/>
      <c r="G53" s="11" t="s">
        <v>53</v>
      </c>
      <c r="H53" s="12">
        <v>0.03</v>
      </c>
      <c r="I53" s="11" t="s">
        <v>54</v>
      </c>
      <c r="J53" s="12">
        <v>0.03</v>
      </c>
      <c r="K53" s="30" t="str">
        <f>IF(ISERROR(VLOOKUP(C53,DATA!A:I,7,FALSE))=TRUE,"",VLOOKUP(C53,DATA!A:I,7,FALSE))</f>
        <v/>
      </c>
      <c r="L53" s="25" t="str">
        <f t="shared" si="0"/>
        <v>待驗</v>
      </c>
      <c r="M53" s="34"/>
      <c r="N53" s="34"/>
      <c r="O53" s="49"/>
      <c r="P53" s="25" t="str">
        <f t="shared" si="1"/>
        <v>待驗</v>
      </c>
      <c r="Q53" s="81"/>
      <c r="R53" s="82"/>
      <c r="S53" s="83" t="s">
        <v>131</v>
      </c>
      <c r="T53" s="84"/>
    </row>
    <row r="54" spans="1:20">
      <c r="A54" s="31"/>
      <c r="B54" s="53" t="s">
        <v>148</v>
      </c>
      <c r="C54" s="54" t="s">
        <v>186</v>
      </c>
      <c r="D54" s="55" t="s">
        <v>102</v>
      </c>
      <c r="E54" s="56">
        <v>8</v>
      </c>
      <c r="F54" s="57"/>
      <c r="G54" s="11" t="s">
        <v>53</v>
      </c>
      <c r="H54" s="12">
        <v>0.05</v>
      </c>
      <c r="I54" s="11" t="s">
        <v>54</v>
      </c>
      <c r="J54" s="12">
        <v>0</v>
      </c>
      <c r="K54" s="30" t="str">
        <f>IF(ISERROR(VLOOKUP(C54,DATA!A:I,7,FALSE))=TRUE,"",VLOOKUP(C54,DATA!A:I,7,FALSE))</f>
        <v/>
      </c>
      <c r="L54" s="25" t="str">
        <f t="shared" si="0"/>
        <v>待驗</v>
      </c>
      <c r="M54" s="34"/>
      <c r="N54" s="34"/>
      <c r="O54" s="49"/>
      <c r="P54" s="25" t="str">
        <f t="shared" si="1"/>
        <v>待驗</v>
      </c>
      <c r="Q54" s="81"/>
      <c r="R54" s="82"/>
      <c r="S54" s="83" t="s">
        <v>131</v>
      </c>
      <c r="T54" s="84"/>
    </row>
    <row r="55" spans="1:20">
      <c r="A55" s="31"/>
      <c r="B55" s="53" t="s">
        <v>148</v>
      </c>
      <c r="C55" s="54" t="s">
        <v>187</v>
      </c>
      <c r="D55" s="55" t="s">
        <v>102</v>
      </c>
      <c r="E55" s="56">
        <v>45.05</v>
      </c>
      <c r="F55" s="57"/>
      <c r="G55" s="11" t="s">
        <v>53</v>
      </c>
      <c r="H55" s="12">
        <v>0.05</v>
      </c>
      <c r="I55" s="11" t="s">
        <v>54</v>
      </c>
      <c r="J55" s="12">
        <v>0</v>
      </c>
      <c r="K55" s="30" t="str">
        <f>IF(ISERROR(VLOOKUP(C55,DATA!A:I,7,FALSE))=TRUE,"",VLOOKUP(C55,DATA!A:I,7,FALSE))</f>
        <v/>
      </c>
      <c r="L55" s="25" t="str">
        <f t="shared" si="0"/>
        <v>待驗</v>
      </c>
      <c r="M55" s="34"/>
      <c r="N55" s="34"/>
      <c r="O55" s="49"/>
      <c r="P55" s="25" t="str">
        <f t="shared" si="1"/>
        <v>待驗</v>
      </c>
      <c r="Q55" s="81"/>
      <c r="R55" s="82"/>
      <c r="S55" s="83" t="s">
        <v>131</v>
      </c>
      <c r="T55" s="84"/>
    </row>
    <row r="56" spans="1:20">
      <c r="A56" s="31"/>
      <c r="B56" s="53" t="s">
        <v>148</v>
      </c>
      <c r="C56" s="54" t="s">
        <v>89</v>
      </c>
      <c r="D56" s="55" t="s">
        <v>102</v>
      </c>
      <c r="E56" s="56">
        <v>16</v>
      </c>
      <c r="F56" s="57"/>
      <c r="G56" s="11" t="s">
        <v>53</v>
      </c>
      <c r="H56" s="12">
        <v>0.1</v>
      </c>
      <c r="I56" s="11" t="s">
        <v>54</v>
      </c>
      <c r="J56" s="12">
        <v>0.1</v>
      </c>
      <c r="K56" s="30" t="str">
        <f>IF(ISERROR(VLOOKUP(C56,DATA!A:I,7,FALSE))=TRUE,"",VLOOKUP(C56,DATA!A:I,7,FALSE))</f>
        <v/>
      </c>
      <c r="L56" s="25" t="str">
        <f t="shared" si="0"/>
        <v>待驗</v>
      </c>
      <c r="M56" s="34"/>
      <c r="N56" s="34"/>
      <c r="O56" s="49"/>
      <c r="P56" s="25" t="str">
        <f t="shared" si="1"/>
        <v>待驗</v>
      </c>
      <c r="Q56" s="81"/>
      <c r="R56" s="82"/>
      <c r="S56" s="83" t="s">
        <v>131</v>
      </c>
      <c r="T56" s="84"/>
    </row>
    <row r="57" spans="1:20" s="68" customFormat="1">
      <c r="A57" s="31"/>
      <c r="B57" s="53" t="s">
        <v>138</v>
      </c>
      <c r="C57" s="54" t="s">
        <v>94</v>
      </c>
      <c r="D57" s="55" t="s">
        <v>102</v>
      </c>
      <c r="E57" s="56">
        <v>187.5</v>
      </c>
      <c r="F57" s="57"/>
      <c r="G57" s="11" t="s">
        <v>53</v>
      </c>
      <c r="H57" s="12">
        <v>0.1</v>
      </c>
      <c r="I57" s="11" t="s">
        <v>54</v>
      </c>
      <c r="J57" s="12">
        <v>0.1</v>
      </c>
      <c r="K57" s="30"/>
      <c r="L57" s="25"/>
      <c r="M57" s="34"/>
      <c r="N57" s="34"/>
      <c r="O57" s="49"/>
      <c r="P57" s="25" t="str">
        <f t="shared" si="1"/>
        <v>待驗</v>
      </c>
      <c r="Q57" s="65"/>
      <c r="R57" s="66"/>
      <c r="S57" s="83" t="s">
        <v>131</v>
      </c>
      <c r="T57" s="84"/>
    </row>
    <row r="58" spans="1:20" s="68" customFormat="1">
      <c r="A58" s="31"/>
      <c r="B58" s="53" t="s">
        <v>138</v>
      </c>
      <c r="C58" s="54" t="s">
        <v>95</v>
      </c>
      <c r="D58" s="55" t="s">
        <v>102</v>
      </c>
      <c r="E58" s="56">
        <v>183.5</v>
      </c>
      <c r="F58" s="57"/>
      <c r="G58" s="11" t="s">
        <v>53</v>
      </c>
      <c r="H58" s="12">
        <v>0.05</v>
      </c>
      <c r="I58" s="11" t="s">
        <v>54</v>
      </c>
      <c r="J58" s="12">
        <v>0.05</v>
      </c>
      <c r="K58" s="30"/>
      <c r="L58" s="25"/>
      <c r="M58" s="34"/>
      <c r="N58" s="34"/>
      <c r="O58" s="49"/>
      <c r="P58" s="25" t="str">
        <f t="shared" si="1"/>
        <v>待驗</v>
      </c>
      <c r="Q58" s="65"/>
      <c r="R58" s="66"/>
      <c r="S58" s="83" t="s">
        <v>131</v>
      </c>
      <c r="T58" s="84"/>
    </row>
    <row r="59" spans="1:20" s="68" customFormat="1">
      <c r="A59" s="31"/>
      <c r="B59" s="53" t="s">
        <v>138</v>
      </c>
      <c r="C59" s="54" t="s">
        <v>96</v>
      </c>
      <c r="D59" s="55" t="s">
        <v>102</v>
      </c>
      <c r="E59" s="56">
        <v>3</v>
      </c>
      <c r="F59" s="57"/>
      <c r="G59" s="11" t="s">
        <v>53</v>
      </c>
      <c r="H59" s="12">
        <v>0.05</v>
      </c>
      <c r="I59" s="11" t="s">
        <v>54</v>
      </c>
      <c r="J59" s="12">
        <v>0.05</v>
      </c>
      <c r="K59" s="30"/>
      <c r="L59" s="25"/>
      <c r="M59" s="34"/>
      <c r="N59" s="34"/>
      <c r="O59" s="49"/>
      <c r="P59" s="25" t="str">
        <f t="shared" si="1"/>
        <v>待驗</v>
      </c>
      <c r="Q59" s="65"/>
      <c r="R59" s="66"/>
      <c r="S59" s="83" t="s">
        <v>131</v>
      </c>
      <c r="T59" s="84"/>
    </row>
    <row r="60" spans="1:20" s="68" customFormat="1">
      <c r="A60" s="31"/>
      <c r="B60" s="53" t="s">
        <v>138</v>
      </c>
      <c r="C60" s="54" t="s">
        <v>97</v>
      </c>
      <c r="D60" s="55" t="s">
        <v>102</v>
      </c>
      <c r="E60" s="56">
        <v>17.5</v>
      </c>
      <c r="F60" s="57"/>
      <c r="G60" s="11" t="s">
        <v>53</v>
      </c>
      <c r="H60" s="12">
        <v>0.03</v>
      </c>
      <c r="I60" s="11" t="s">
        <v>54</v>
      </c>
      <c r="J60" s="12">
        <v>0.03</v>
      </c>
      <c r="K60" s="30"/>
      <c r="L60" s="25"/>
      <c r="M60" s="34"/>
      <c r="N60" s="34"/>
      <c r="O60" s="49"/>
      <c r="P60" s="25" t="str">
        <f t="shared" si="1"/>
        <v>待驗</v>
      </c>
      <c r="Q60" s="65"/>
      <c r="R60" s="66"/>
      <c r="S60" s="83" t="s">
        <v>131</v>
      </c>
      <c r="T60" s="84"/>
    </row>
    <row r="61" spans="1:20" s="68" customFormat="1">
      <c r="A61" s="31"/>
      <c r="B61" s="53" t="s">
        <v>138</v>
      </c>
      <c r="C61" s="54" t="s">
        <v>98</v>
      </c>
      <c r="D61" s="55" t="s">
        <v>102</v>
      </c>
      <c r="E61" s="56">
        <v>17</v>
      </c>
      <c r="F61" s="57"/>
      <c r="G61" s="11" t="s">
        <v>53</v>
      </c>
      <c r="H61" s="12">
        <v>0.05</v>
      </c>
      <c r="I61" s="11" t="s">
        <v>54</v>
      </c>
      <c r="J61" s="12">
        <v>0.05</v>
      </c>
      <c r="K61" s="30"/>
      <c r="L61" s="25"/>
      <c r="M61" s="34"/>
      <c r="N61" s="34"/>
      <c r="O61" s="49"/>
      <c r="P61" s="25" t="str">
        <f t="shared" si="1"/>
        <v>待驗</v>
      </c>
      <c r="Q61" s="65"/>
      <c r="R61" s="66"/>
      <c r="S61" s="83" t="s">
        <v>131</v>
      </c>
      <c r="T61" s="84"/>
    </row>
    <row r="62" spans="1:20" s="68" customFormat="1">
      <c r="A62" s="31"/>
      <c r="B62" s="53" t="s">
        <v>138</v>
      </c>
      <c r="C62" s="54" t="s">
        <v>99</v>
      </c>
      <c r="D62" s="55" t="s">
        <v>150</v>
      </c>
      <c r="E62" s="58" t="s">
        <v>151</v>
      </c>
      <c r="F62" s="57"/>
      <c r="G62" s="11" t="s">
        <v>53</v>
      </c>
      <c r="H62" s="12" t="s">
        <v>54</v>
      </c>
      <c r="I62" s="11" t="s">
        <v>54</v>
      </c>
      <c r="J62" s="12" t="s">
        <v>54</v>
      </c>
      <c r="K62" s="30"/>
      <c r="L62" s="25"/>
      <c r="M62" s="34"/>
      <c r="N62" s="34"/>
      <c r="O62" s="49"/>
      <c r="P62" s="25" t="str">
        <f t="shared" si="1"/>
        <v>待驗</v>
      </c>
      <c r="Q62" s="65"/>
      <c r="R62" s="66"/>
      <c r="S62" s="83" t="s">
        <v>130</v>
      </c>
      <c r="T62" s="84"/>
    </row>
    <row r="63" spans="1:20" s="68" customFormat="1">
      <c r="A63" s="31"/>
      <c r="B63" s="53" t="s">
        <v>138</v>
      </c>
      <c r="C63" s="54" t="s">
        <v>183</v>
      </c>
      <c r="D63" s="55"/>
      <c r="E63" s="56" t="s">
        <v>182</v>
      </c>
      <c r="F63" s="57"/>
      <c r="G63" s="11" t="s">
        <v>53</v>
      </c>
      <c r="H63" s="12" t="s">
        <v>54</v>
      </c>
      <c r="I63" s="11" t="s">
        <v>54</v>
      </c>
      <c r="J63" s="12" t="s">
        <v>54</v>
      </c>
      <c r="K63" s="30"/>
      <c r="L63" s="25"/>
      <c r="M63" s="34"/>
      <c r="N63" s="34"/>
      <c r="O63" s="49"/>
      <c r="P63" s="25" t="str">
        <f t="shared" si="1"/>
        <v>待驗</v>
      </c>
      <c r="Q63" s="65"/>
      <c r="R63" s="66"/>
      <c r="S63" s="83" t="s">
        <v>130</v>
      </c>
      <c r="T63" s="84"/>
    </row>
    <row r="64" spans="1:20">
      <c r="A64" s="31"/>
      <c r="B64" s="53" t="s">
        <v>148</v>
      </c>
      <c r="C64" s="54" t="s">
        <v>184</v>
      </c>
      <c r="D64" s="55" t="s">
        <v>102</v>
      </c>
      <c r="E64" s="56">
        <v>8</v>
      </c>
      <c r="F64" s="57"/>
      <c r="G64" s="11" t="s">
        <v>53</v>
      </c>
      <c r="H64" s="12">
        <v>0.1</v>
      </c>
      <c r="I64" s="11" t="s">
        <v>54</v>
      </c>
      <c r="J64" s="12">
        <v>0.1</v>
      </c>
      <c r="K64" s="30" t="str">
        <f>IF(ISERROR(VLOOKUP(C64,DATA!A:I,7,FALSE))=TRUE,"",VLOOKUP(C64,DATA!A:I,7,FALSE))</f>
        <v/>
      </c>
      <c r="L64" s="25" t="str">
        <f t="shared" si="0"/>
        <v>待驗</v>
      </c>
      <c r="M64" s="34"/>
      <c r="N64" s="34"/>
      <c r="O64" s="49"/>
      <c r="P64" s="25" t="str">
        <f t="shared" si="1"/>
        <v>待驗</v>
      </c>
      <c r="Q64" s="81"/>
      <c r="R64" s="82"/>
      <c r="S64" s="83" t="s">
        <v>131</v>
      </c>
      <c r="T64" s="84"/>
    </row>
    <row r="65" spans="1:20">
      <c r="A65" s="31"/>
      <c r="B65" s="53" t="s">
        <v>148</v>
      </c>
      <c r="C65" s="54" t="s">
        <v>185</v>
      </c>
      <c r="D65" s="55" t="s">
        <v>102</v>
      </c>
      <c r="E65" s="56">
        <v>2.0499999999999998</v>
      </c>
      <c r="F65" s="57"/>
      <c r="G65" s="11" t="s">
        <v>53</v>
      </c>
      <c r="H65" s="12">
        <v>0.02</v>
      </c>
      <c r="I65" s="11" t="s">
        <v>54</v>
      </c>
      <c r="J65" s="12">
        <v>0.02</v>
      </c>
      <c r="K65" s="30" t="str">
        <f>IF(ISERROR(VLOOKUP(C65,DATA!A:I,7,FALSE))=TRUE,"",VLOOKUP(C65,DATA!A:I,7,FALSE))</f>
        <v/>
      </c>
      <c r="L65" s="25" t="str">
        <f t="shared" ref="L65:L73" si="12">IF(OR(D65="刻字",K65="",D65="M",D65="#",D65="粗糙",D65="平面",E65="THRU"),"待驗",IF(AND(K65&lt;=E65+(H65*0.66),K65&gt;=E65-(J65*0.66)),"合格",IF(AND(K65&lt;=E65+H65,K65&gt;=E65-J65),"特採","異常")))</f>
        <v>待驗</v>
      </c>
      <c r="M65" s="34"/>
      <c r="N65" s="34"/>
      <c r="O65" s="49"/>
      <c r="P65" s="25" t="str">
        <f t="shared" si="1"/>
        <v>待驗</v>
      </c>
      <c r="Q65" s="81"/>
      <c r="R65" s="82"/>
      <c r="S65" s="83" t="s">
        <v>131</v>
      </c>
      <c r="T65" s="84"/>
    </row>
    <row r="66" spans="1:20" s="68" customFormat="1">
      <c r="A66" s="31"/>
      <c r="B66" s="53" t="s">
        <v>138</v>
      </c>
      <c r="C66" s="54" t="s">
        <v>170</v>
      </c>
      <c r="D66" s="55" t="s">
        <v>102</v>
      </c>
      <c r="E66" s="56">
        <v>2.0499999999999998</v>
      </c>
      <c r="F66" s="57"/>
      <c r="G66" s="11" t="s">
        <v>53</v>
      </c>
      <c r="H66" s="12">
        <v>0.02</v>
      </c>
      <c r="I66" s="11" t="s">
        <v>54</v>
      </c>
      <c r="J66" s="12">
        <v>0.02</v>
      </c>
      <c r="K66" s="30"/>
      <c r="L66" s="25"/>
      <c r="M66" s="34"/>
      <c r="N66" s="34"/>
      <c r="O66" s="49"/>
      <c r="P66" s="25" t="str">
        <f t="shared" si="1"/>
        <v>待驗</v>
      </c>
      <c r="Q66" s="65"/>
      <c r="R66" s="66"/>
      <c r="S66" s="83" t="s">
        <v>131</v>
      </c>
      <c r="T66" s="84"/>
    </row>
    <row r="67" spans="1:20">
      <c r="A67" s="31"/>
      <c r="B67" s="53" t="s">
        <v>148</v>
      </c>
      <c r="C67" s="54" t="s">
        <v>171</v>
      </c>
      <c r="D67" s="55" t="s">
        <v>102</v>
      </c>
      <c r="E67" s="56">
        <v>8</v>
      </c>
      <c r="F67" s="57"/>
      <c r="G67" s="11" t="s">
        <v>53</v>
      </c>
      <c r="H67" s="12">
        <v>0.1</v>
      </c>
      <c r="I67" s="11" t="s">
        <v>54</v>
      </c>
      <c r="J67" s="12">
        <v>0.1</v>
      </c>
      <c r="K67" s="30" t="str">
        <f>IF(ISERROR(VLOOKUP(C67,DATA!A:I,7,FALSE))=TRUE,"",VLOOKUP(C67,DATA!A:I,7,FALSE))</f>
        <v/>
      </c>
      <c r="L67" s="25" t="str">
        <f t="shared" si="12"/>
        <v>待驗</v>
      </c>
      <c r="M67" s="34"/>
      <c r="N67" s="34"/>
      <c r="O67" s="49"/>
      <c r="P67" s="25" t="str">
        <f t="shared" si="1"/>
        <v>待驗</v>
      </c>
      <c r="Q67" s="81"/>
      <c r="R67" s="82"/>
      <c r="S67" s="83" t="s">
        <v>131</v>
      </c>
      <c r="T67" s="84"/>
    </row>
    <row r="68" spans="1:20">
      <c r="A68" s="31"/>
      <c r="B68" s="53" t="s">
        <v>148</v>
      </c>
      <c r="C68" s="54" t="s">
        <v>172</v>
      </c>
      <c r="D68" s="55" t="s">
        <v>102</v>
      </c>
      <c r="E68" s="56">
        <v>380</v>
      </c>
      <c r="F68" s="57"/>
      <c r="G68" s="11" t="s">
        <v>53</v>
      </c>
      <c r="H68" s="12">
        <v>0.1</v>
      </c>
      <c r="I68" s="11" t="s">
        <v>54</v>
      </c>
      <c r="J68" s="12">
        <v>0.1</v>
      </c>
      <c r="K68" s="30" t="str">
        <f>IF(ISERROR(VLOOKUP(C68,DATA!A:I,7,FALSE))=TRUE,"",VLOOKUP(C68,DATA!A:I,7,FALSE))</f>
        <v/>
      </c>
      <c r="L68" s="25" t="str">
        <f t="shared" si="12"/>
        <v>待驗</v>
      </c>
      <c r="M68" s="34"/>
      <c r="N68" s="34"/>
      <c r="O68" s="49"/>
      <c r="P68" s="25" t="str">
        <f t="shared" si="1"/>
        <v>待驗</v>
      </c>
      <c r="Q68" s="81"/>
      <c r="R68" s="82"/>
      <c r="S68" s="83" t="s">
        <v>131</v>
      </c>
      <c r="T68" s="84"/>
    </row>
    <row r="69" spans="1:20">
      <c r="A69" s="32"/>
      <c r="B69" s="53" t="s">
        <v>148</v>
      </c>
      <c r="C69" s="54" t="s">
        <v>173</v>
      </c>
      <c r="D69" s="55" t="s">
        <v>102</v>
      </c>
      <c r="E69" s="56">
        <v>2.98</v>
      </c>
      <c r="F69" s="57"/>
      <c r="G69" s="11" t="s">
        <v>53</v>
      </c>
      <c r="H69" s="12">
        <v>0</v>
      </c>
      <c r="I69" s="11" t="s">
        <v>54</v>
      </c>
      <c r="J69" s="12">
        <v>0.1</v>
      </c>
      <c r="K69" s="30" t="str">
        <f>IF(ISERROR(VLOOKUP(C69,DATA!A:I,7,FALSE))=TRUE,"",VLOOKUP(C69,DATA!A:I,7,FALSE))</f>
        <v/>
      </c>
      <c r="L69" s="25" t="str">
        <f t="shared" si="12"/>
        <v>待驗</v>
      </c>
      <c r="M69" s="34"/>
      <c r="N69" s="34"/>
      <c r="O69" s="49"/>
      <c r="P69" s="25" t="str">
        <f t="shared" si="1"/>
        <v>待驗</v>
      </c>
      <c r="Q69" s="81"/>
      <c r="R69" s="82"/>
      <c r="S69" s="83" t="s">
        <v>131</v>
      </c>
      <c r="T69" s="84"/>
    </row>
    <row r="70" spans="1:20" s="68" customFormat="1">
      <c r="A70" s="32"/>
      <c r="B70" s="53" t="s">
        <v>138</v>
      </c>
      <c r="C70" s="54" t="s">
        <v>174</v>
      </c>
      <c r="D70" s="55" t="s">
        <v>163</v>
      </c>
      <c r="E70" s="56">
        <v>77.11</v>
      </c>
      <c r="F70" s="57"/>
      <c r="G70" s="11" t="s">
        <v>53</v>
      </c>
      <c r="H70" s="12">
        <v>1</v>
      </c>
      <c r="I70" s="11" t="s">
        <v>54</v>
      </c>
      <c r="J70" s="12">
        <v>1</v>
      </c>
      <c r="K70" s="30"/>
      <c r="L70" s="25"/>
      <c r="M70" s="34"/>
      <c r="N70" s="34"/>
      <c r="O70" s="49"/>
      <c r="P70" s="25" t="str">
        <f t="shared" si="1"/>
        <v>待驗</v>
      </c>
      <c r="Q70" s="65"/>
      <c r="R70" s="66"/>
      <c r="S70" s="83" t="s">
        <v>131</v>
      </c>
      <c r="T70" s="84"/>
    </row>
    <row r="71" spans="1:20" s="68" customFormat="1">
      <c r="A71" s="32"/>
      <c r="B71" s="53" t="s">
        <v>138</v>
      </c>
      <c r="C71" s="54" t="s">
        <v>175</v>
      </c>
      <c r="D71" s="55" t="s">
        <v>102</v>
      </c>
      <c r="E71" s="56">
        <v>3.5</v>
      </c>
      <c r="F71" s="57"/>
      <c r="G71" s="11" t="s">
        <v>53</v>
      </c>
      <c r="H71" s="12">
        <v>0.1</v>
      </c>
      <c r="I71" s="11" t="s">
        <v>54</v>
      </c>
      <c r="J71" s="12">
        <v>0.1</v>
      </c>
      <c r="K71" s="30"/>
      <c r="L71" s="25"/>
      <c r="M71" s="34"/>
      <c r="N71" s="34"/>
      <c r="O71" s="49"/>
      <c r="P71" s="25" t="str">
        <f t="shared" si="1"/>
        <v>待驗</v>
      </c>
      <c r="Q71" s="65"/>
      <c r="R71" s="66"/>
      <c r="S71" s="83" t="s">
        <v>131</v>
      </c>
      <c r="T71" s="84"/>
    </row>
    <row r="72" spans="1:20" s="68" customFormat="1">
      <c r="A72" s="32"/>
      <c r="B72" s="53" t="s">
        <v>138</v>
      </c>
      <c r="C72" s="54" t="s">
        <v>176</v>
      </c>
      <c r="D72" s="55" t="s">
        <v>102</v>
      </c>
      <c r="E72" s="56">
        <v>10</v>
      </c>
      <c r="F72" s="57"/>
      <c r="G72" s="11" t="s">
        <v>53</v>
      </c>
      <c r="H72" s="12">
        <v>0.1</v>
      </c>
      <c r="I72" s="11" t="s">
        <v>54</v>
      </c>
      <c r="J72" s="12">
        <v>0.1</v>
      </c>
      <c r="K72" s="30"/>
      <c r="L72" s="25"/>
      <c r="M72" s="34"/>
      <c r="N72" s="34"/>
      <c r="O72" s="49"/>
      <c r="P72" s="25" t="str">
        <f t="shared" si="1"/>
        <v>待驗</v>
      </c>
      <c r="Q72" s="65"/>
      <c r="R72" s="66"/>
      <c r="S72" s="83" t="s">
        <v>131</v>
      </c>
      <c r="T72" s="84"/>
    </row>
    <row r="73" spans="1:20">
      <c r="A73" s="31"/>
      <c r="B73" s="53" t="s">
        <v>138</v>
      </c>
      <c r="C73" s="54" t="s">
        <v>177</v>
      </c>
      <c r="D73" s="55" t="s">
        <v>102</v>
      </c>
      <c r="E73" s="56">
        <v>94</v>
      </c>
      <c r="F73" s="57"/>
      <c r="G73" s="11" t="s">
        <v>53</v>
      </c>
      <c r="H73" s="12">
        <v>0.15</v>
      </c>
      <c r="I73" s="11" t="s">
        <v>54</v>
      </c>
      <c r="J73" s="12">
        <v>0.15</v>
      </c>
      <c r="K73" s="30" t="str">
        <f>IF(ISERROR(VLOOKUP(C73,DATA!A:I,7,FALSE))=TRUE,"",VLOOKUP(C73,DATA!A:I,7,FALSE))</f>
        <v/>
      </c>
      <c r="L73" s="25" t="str">
        <f t="shared" si="12"/>
        <v>待驗</v>
      </c>
      <c r="M73" s="34"/>
      <c r="N73" s="34"/>
      <c r="O73" s="49"/>
      <c r="P73" s="25" t="str">
        <f t="shared" si="1"/>
        <v>待驗</v>
      </c>
      <c r="Q73" s="81"/>
      <c r="R73" s="82"/>
      <c r="S73" s="83" t="s">
        <v>131</v>
      </c>
      <c r="T73" s="84"/>
    </row>
    <row r="74" spans="1:20">
      <c r="A74" s="31"/>
      <c r="B74" s="39" t="s">
        <v>68</v>
      </c>
      <c r="C74" s="16" t="s">
        <v>69</v>
      </c>
      <c r="D74" s="14"/>
      <c r="E74" s="15" t="s">
        <v>70</v>
      </c>
      <c r="F74" s="34"/>
      <c r="G74" s="11" t="s">
        <v>53</v>
      </c>
      <c r="H74" s="12" t="s">
        <v>54</v>
      </c>
      <c r="I74" s="11" t="s">
        <v>54</v>
      </c>
      <c r="J74" s="12" t="s">
        <v>54</v>
      </c>
      <c r="K74" s="30" t="str">
        <f>IF(ISERROR(VLOOKUP(C74,DATA!A:I,7,FALSE))=TRUE,"",VLOOKUP(C74,DATA!A:I,7,FALSE))</f>
        <v/>
      </c>
      <c r="L74" s="25" t="str">
        <f t="shared" ref="L74:L78" si="13">IF(OR(D74="刻字",K74="",D74="M",D74="#",D74="粗糙",D74="平面",E74="THRU"),"待驗",IF(AND(K74&lt;=E74+(H74*0.66),K74&gt;=E74-(J74*0.66)),"合格",IF(AND(K74&lt;=E74+H74,K74&gt;=E74-J74),"特採","異常")))</f>
        <v>待驗</v>
      </c>
      <c r="M74" s="34"/>
      <c r="N74" s="34"/>
      <c r="O74" s="49"/>
      <c r="P74" s="25" t="str">
        <f t="shared" ref="P74:P78" si="14">IF(AND(K74="",M74="",N74=""),"待驗",IF(OR(L74="合格",L74="特採"),L74,IFERROR(IF(AND(D74="刻字",OR(M74=E74,N74=E74,)),"合格",IF(OR(M74="OK",N74="OK"),"合格",IF(OR(AND(M74&lt;=E74+(H74*0.66),M74&gt;=E74-(J74*0.66)),AND(N74&lt;=E74+(H74*0.66),N74&gt;=E74-(J74*0.66)),AND(O74&lt;=E74+(H74*0.66),O74&gt;=E74-(J74*0.66))),"合格",IF(OR(AND(M74&lt;=E74+H74,M74&gt;=E74-J74),AND(N74&lt;=E74+H74,N74&gt;=E74-J74)),"特採","異常")))),"異常")))</f>
        <v>待驗</v>
      </c>
      <c r="Q74" s="81"/>
      <c r="R74" s="82"/>
      <c r="S74" s="83" t="s">
        <v>124</v>
      </c>
      <c r="T74" s="84"/>
    </row>
    <row r="75" spans="1:20">
      <c r="A75" s="33"/>
      <c r="B75" s="39" t="s">
        <v>68</v>
      </c>
      <c r="C75" s="16" t="s">
        <v>71</v>
      </c>
      <c r="D75" s="14"/>
      <c r="E75" s="15" t="s">
        <v>72</v>
      </c>
      <c r="F75" s="34"/>
      <c r="G75" s="11" t="s">
        <v>53</v>
      </c>
      <c r="H75" s="12" t="s">
        <v>54</v>
      </c>
      <c r="I75" s="11" t="s">
        <v>54</v>
      </c>
      <c r="J75" s="12" t="s">
        <v>54</v>
      </c>
      <c r="K75" s="30" t="str">
        <f>IF(ISERROR(VLOOKUP(C75,DATA!A:I,7,FALSE))=TRUE,"",VLOOKUP(C75,DATA!A:I,7,FALSE))</f>
        <v/>
      </c>
      <c r="L75" s="25" t="str">
        <f t="shared" si="13"/>
        <v>待驗</v>
      </c>
      <c r="M75" s="34"/>
      <c r="N75" s="34"/>
      <c r="O75" s="49"/>
      <c r="P75" s="25" t="str">
        <f t="shared" si="14"/>
        <v>待驗</v>
      </c>
      <c r="Q75" s="81"/>
      <c r="R75" s="82"/>
      <c r="S75" s="83" t="s">
        <v>124</v>
      </c>
      <c r="T75" s="84"/>
    </row>
    <row r="76" spans="1:20">
      <c r="A76" s="33"/>
      <c r="B76" s="39" t="s">
        <v>68</v>
      </c>
      <c r="C76" s="16" t="s">
        <v>73</v>
      </c>
      <c r="D76" s="14"/>
      <c r="E76" s="15" t="s">
        <v>74</v>
      </c>
      <c r="F76" s="34"/>
      <c r="G76" s="11" t="s">
        <v>53</v>
      </c>
      <c r="H76" s="12" t="s">
        <v>54</v>
      </c>
      <c r="I76" s="11" t="s">
        <v>54</v>
      </c>
      <c r="J76" s="12" t="s">
        <v>54</v>
      </c>
      <c r="K76" s="30" t="str">
        <f>IF(ISERROR(VLOOKUP(C76,DATA!A:I,7,FALSE))=TRUE,"",VLOOKUP(C76,DATA!A:I,7,FALSE))</f>
        <v/>
      </c>
      <c r="L76" s="25" t="str">
        <f t="shared" si="13"/>
        <v>待驗</v>
      </c>
      <c r="M76" s="34"/>
      <c r="N76" s="34"/>
      <c r="O76" s="49"/>
      <c r="P76" s="25" t="str">
        <f t="shared" si="14"/>
        <v>待驗</v>
      </c>
      <c r="Q76" s="81"/>
      <c r="R76" s="82"/>
      <c r="S76" s="83" t="s">
        <v>124</v>
      </c>
      <c r="T76" s="84"/>
    </row>
    <row r="77" spans="1:20">
      <c r="A77" s="33"/>
      <c r="B77" s="39" t="s">
        <v>68</v>
      </c>
      <c r="C77" s="16" t="s">
        <v>75</v>
      </c>
      <c r="D77" s="14"/>
      <c r="E77" s="15" t="s">
        <v>76</v>
      </c>
      <c r="F77" s="34"/>
      <c r="G77" s="11" t="s">
        <v>53</v>
      </c>
      <c r="H77" s="12" t="s">
        <v>54</v>
      </c>
      <c r="I77" s="11" t="s">
        <v>54</v>
      </c>
      <c r="J77" s="12" t="s">
        <v>54</v>
      </c>
      <c r="K77" s="30" t="str">
        <f>IF(ISERROR(VLOOKUP(C77,DATA!A:I,7,FALSE))=TRUE,"",VLOOKUP(C77,DATA!A:I,7,FALSE))</f>
        <v/>
      </c>
      <c r="L77" s="25" t="str">
        <f t="shared" si="13"/>
        <v>待驗</v>
      </c>
      <c r="M77" s="34"/>
      <c r="N77" s="34"/>
      <c r="O77" s="49"/>
      <c r="P77" s="25" t="str">
        <f t="shared" si="14"/>
        <v>待驗</v>
      </c>
      <c r="Q77" s="81"/>
      <c r="R77" s="82"/>
      <c r="S77" s="83" t="s">
        <v>124</v>
      </c>
      <c r="T77" s="84"/>
    </row>
    <row r="78" spans="1:20" ht="16" thickBot="1">
      <c r="A78" s="33"/>
      <c r="B78" s="40" t="s">
        <v>68</v>
      </c>
      <c r="C78" s="41" t="s">
        <v>77</v>
      </c>
      <c r="D78" s="42"/>
      <c r="E78" s="43" t="s">
        <v>78</v>
      </c>
      <c r="F78" s="44"/>
      <c r="G78" s="45" t="s">
        <v>53</v>
      </c>
      <c r="H78" s="46" t="s">
        <v>54</v>
      </c>
      <c r="I78" s="45" t="s">
        <v>54</v>
      </c>
      <c r="J78" s="46" t="s">
        <v>54</v>
      </c>
      <c r="K78" s="30" t="str">
        <f>IF(ISERROR(VLOOKUP(C78,DATA!A:I,7,FALSE))=TRUE,"",VLOOKUP(C78,DATA!A:I,7,FALSE))</f>
        <v/>
      </c>
      <c r="L78" s="47" t="str">
        <f t="shared" si="13"/>
        <v>待驗</v>
      </c>
      <c r="M78" s="44"/>
      <c r="N78" s="44"/>
      <c r="O78" s="49"/>
      <c r="P78" s="25" t="str">
        <f t="shared" si="14"/>
        <v>待驗</v>
      </c>
      <c r="Q78" s="81"/>
      <c r="R78" s="82"/>
      <c r="S78" s="83" t="s">
        <v>124</v>
      </c>
      <c r="T78" s="84"/>
    </row>
    <row r="79" spans="1:20" ht="16.5" thickBot="1">
      <c r="Q79" s="36" t="s">
        <v>60</v>
      </c>
      <c r="R79" s="37"/>
      <c r="S79" s="37" t="s">
        <v>61</v>
      </c>
      <c r="T79" s="38"/>
    </row>
    <row r="80" spans="1:20" ht="16.5" thickBot="1">
      <c r="Q80" s="29" t="s">
        <v>62</v>
      </c>
      <c r="R80" s="26"/>
      <c r="S80" s="28" t="s">
        <v>61</v>
      </c>
      <c r="T80" s="27"/>
    </row>
    <row r="135" ht="15.65" customHeight="1"/>
  </sheetData>
  <mergeCells count="132">
    <mergeCell ref="S72:T72"/>
    <mergeCell ref="H4:T24"/>
    <mergeCell ref="S43:T43"/>
    <mergeCell ref="S46:T46"/>
    <mergeCell ref="S47:T47"/>
    <mergeCell ref="S57:T57"/>
    <mergeCell ref="S58:T58"/>
    <mergeCell ref="S59:T59"/>
    <mergeCell ref="S60:T60"/>
    <mergeCell ref="S61:T61"/>
    <mergeCell ref="S28:T28"/>
    <mergeCell ref="S33:T33"/>
    <mergeCell ref="S38:T38"/>
    <mergeCell ref="S40:T40"/>
    <mergeCell ref="S34:T34"/>
    <mergeCell ref="S35:T35"/>
    <mergeCell ref="S25:T25"/>
    <mergeCell ref="D25:J25"/>
    <mergeCell ref="S26:T26"/>
    <mergeCell ref="S27:T27"/>
    <mergeCell ref="S39:T39"/>
    <mergeCell ref="F18:G18"/>
    <mergeCell ref="F19:G19"/>
    <mergeCell ref="F20:G20"/>
    <mergeCell ref="F13:G13"/>
    <mergeCell ref="F23:G23"/>
    <mergeCell ref="B17:C24"/>
    <mergeCell ref="D15:D24"/>
    <mergeCell ref="F24:G24"/>
    <mergeCell ref="F16:G16"/>
    <mergeCell ref="F17:G17"/>
    <mergeCell ref="F21:G21"/>
    <mergeCell ref="F22:G22"/>
    <mergeCell ref="S30:T30"/>
    <mergeCell ref="S31:T31"/>
    <mergeCell ref="S37:T37"/>
    <mergeCell ref="S36:T36"/>
    <mergeCell ref="S29:T29"/>
    <mergeCell ref="S32:T32"/>
    <mergeCell ref="Q25:R25"/>
    <mergeCell ref="Q26:R26"/>
    <mergeCell ref="Q27:R27"/>
    <mergeCell ref="Q28:R28"/>
    <mergeCell ref="Q29:R29"/>
    <mergeCell ref="Q30:R30"/>
    <mergeCell ref="Q31:R31"/>
    <mergeCell ref="Q32:R32"/>
    <mergeCell ref="Q33:R33"/>
    <mergeCell ref="Q34:R34"/>
    <mergeCell ref="Q35:R35"/>
    <mergeCell ref="Q36:R36"/>
    <mergeCell ref="Q37:R37"/>
    <mergeCell ref="E4:G4"/>
    <mergeCell ref="E5:G5"/>
    <mergeCell ref="E6:G6"/>
    <mergeCell ref="E7:G7"/>
    <mergeCell ref="B8:D8"/>
    <mergeCell ref="E8:G8"/>
    <mergeCell ref="B2:T3"/>
    <mergeCell ref="E14:G14"/>
    <mergeCell ref="F15:G15"/>
    <mergeCell ref="E12:G12"/>
    <mergeCell ref="B14:D14"/>
    <mergeCell ref="B11:D11"/>
    <mergeCell ref="E11:G11"/>
    <mergeCell ref="B4:D4"/>
    <mergeCell ref="B5:D5"/>
    <mergeCell ref="B6:D6"/>
    <mergeCell ref="B7:D7"/>
    <mergeCell ref="B9:D9"/>
    <mergeCell ref="B10:D10"/>
    <mergeCell ref="E9:G9"/>
    <mergeCell ref="E10:G10"/>
    <mergeCell ref="B13:D13"/>
    <mergeCell ref="B12:D12"/>
    <mergeCell ref="B15:C16"/>
    <mergeCell ref="S51:T51"/>
    <mergeCell ref="S45:T45"/>
    <mergeCell ref="S78:T78"/>
    <mergeCell ref="S74:T74"/>
    <mergeCell ref="S76:T76"/>
    <mergeCell ref="S77:T77"/>
    <mergeCell ref="S67:T67"/>
    <mergeCell ref="S68:T68"/>
    <mergeCell ref="S69:T69"/>
    <mergeCell ref="S73:T73"/>
    <mergeCell ref="S65:T65"/>
    <mergeCell ref="S50:T50"/>
    <mergeCell ref="S52:T52"/>
    <mergeCell ref="S53:T53"/>
    <mergeCell ref="S54:T54"/>
    <mergeCell ref="S55:T55"/>
    <mergeCell ref="S56:T56"/>
    <mergeCell ref="S64:T64"/>
    <mergeCell ref="S62:T62"/>
    <mergeCell ref="S63:T63"/>
    <mergeCell ref="S70:T70"/>
    <mergeCell ref="S71:T71"/>
    <mergeCell ref="S75:T75"/>
    <mergeCell ref="S66:T66"/>
    <mergeCell ref="S44:T44"/>
    <mergeCell ref="S48:T48"/>
    <mergeCell ref="S49:T49"/>
    <mergeCell ref="S41:T41"/>
    <mergeCell ref="S42:T42"/>
    <mergeCell ref="Q38:R38"/>
    <mergeCell ref="Q39:R39"/>
    <mergeCell ref="Q40:R40"/>
    <mergeCell ref="Q41:R41"/>
    <mergeCell ref="Q42:R42"/>
    <mergeCell ref="Q50:R50"/>
    <mergeCell ref="Q52:R52"/>
    <mergeCell ref="Q53:R53"/>
    <mergeCell ref="Q54:R54"/>
    <mergeCell ref="Q55:R55"/>
    <mergeCell ref="Q44:R44"/>
    <mergeCell ref="Q48:R48"/>
    <mergeCell ref="Q49:R49"/>
    <mergeCell ref="Q45:R45"/>
    <mergeCell ref="Q51:R51"/>
    <mergeCell ref="Q76:R76"/>
    <mergeCell ref="Q77:R77"/>
    <mergeCell ref="Q78:R78"/>
    <mergeCell ref="Q69:R69"/>
    <mergeCell ref="Q73:R73"/>
    <mergeCell ref="Q74:R74"/>
    <mergeCell ref="Q75:R75"/>
    <mergeCell ref="Q56:R56"/>
    <mergeCell ref="Q64:R64"/>
    <mergeCell ref="Q65:R65"/>
    <mergeCell ref="Q67:R67"/>
    <mergeCell ref="Q68:R68"/>
  </mergeCells>
  <phoneticPr fontId="1" type="noConversion"/>
  <conditionalFormatting sqref="L26:L27 L74:L78 L29 L40 L32:L35 L38 L44 L48:L64">
    <cfRule type="cellIs" dxfId="159" priority="441" operator="equal">
      <formula>"待驗"</formula>
    </cfRule>
    <cfRule type="cellIs" dxfId="158" priority="442" operator="equal">
      <formula>"特採"</formula>
    </cfRule>
    <cfRule type="cellIs" dxfId="157" priority="443" operator="equal">
      <formula>"異常"</formula>
    </cfRule>
    <cfRule type="cellIs" dxfId="156" priority="444" operator="equal">
      <formula>"合格"</formula>
    </cfRule>
  </conditionalFormatting>
  <conditionalFormatting sqref="S74 P26:P29 P40 P32:P35 S26 S40 S32:S35 P38 S38 S44 Q37:Q44 P42:P47 S48:S49 S62:S63 P48:Q78">
    <cfRule type="cellIs" dxfId="155" priority="437" operator="equal">
      <formula>"手動"</formula>
    </cfRule>
    <cfRule type="cellIs" dxfId="154" priority="438" operator="equal">
      <formula>"特採"</formula>
    </cfRule>
    <cfRule type="cellIs" dxfId="153" priority="439" operator="equal">
      <formula>"異常"</formula>
    </cfRule>
    <cfRule type="cellIs" dxfId="152" priority="440" operator="equal">
      <formula>"合格"</formula>
    </cfRule>
  </conditionalFormatting>
  <conditionalFormatting sqref="L42:L43">
    <cfRule type="cellIs" dxfId="151" priority="421" operator="equal">
      <formula>"待驗"</formula>
    </cfRule>
    <cfRule type="cellIs" dxfId="150" priority="422" operator="equal">
      <formula>"特採"</formula>
    </cfRule>
    <cfRule type="cellIs" dxfId="149" priority="423" operator="equal">
      <formula>"異常"</formula>
    </cfRule>
    <cfRule type="cellIs" dxfId="148" priority="424" operator="equal">
      <formula>"合格"</formula>
    </cfRule>
  </conditionalFormatting>
  <conditionalFormatting sqref="S42:S43">
    <cfRule type="cellIs" dxfId="147" priority="417" operator="equal">
      <formula>"手動"</formula>
    </cfRule>
    <cfRule type="cellIs" dxfId="146" priority="418" operator="equal">
      <formula>"特採"</formula>
    </cfRule>
    <cfRule type="cellIs" dxfId="145" priority="419" operator="equal">
      <formula>"異常"</formula>
    </cfRule>
    <cfRule type="cellIs" dxfId="144" priority="420" operator="equal">
      <formula>"合格"</formula>
    </cfRule>
  </conditionalFormatting>
  <conditionalFormatting sqref="L28">
    <cfRule type="cellIs" dxfId="143" priority="413" operator="equal">
      <formula>"待驗"</formula>
    </cfRule>
    <cfRule type="cellIs" dxfId="142" priority="414" operator="equal">
      <formula>"特採"</formula>
    </cfRule>
    <cfRule type="cellIs" dxfId="141" priority="415" operator="equal">
      <formula>"異常"</formula>
    </cfRule>
    <cfRule type="cellIs" dxfId="140" priority="416" operator="equal">
      <formula>"合格"</formula>
    </cfRule>
  </conditionalFormatting>
  <conditionalFormatting sqref="L65:L66">
    <cfRule type="cellIs" dxfId="139" priority="285" operator="equal">
      <formula>"待驗"</formula>
    </cfRule>
    <cfRule type="cellIs" dxfId="138" priority="286" operator="equal">
      <formula>"特採"</formula>
    </cfRule>
    <cfRule type="cellIs" dxfId="137" priority="287" operator="equal">
      <formula>"異常"</formula>
    </cfRule>
    <cfRule type="cellIs" dxfId="136" priority="288" operator="equal">
      <formula>"合格"</formula>
    </cfRule>
  </conditionalFormatting>
  <conditionalFormatting sqref="L67:L68">
    <cfRule type="cellIs" dxfId="135" priority="205" operator="equal">
      <formula>"待驗"</formula>
    </cfRule>
    <cfRule type="cellIs" dxfId="134" priority="206" operator="equal">
      <formula>"特採"</formula>
    </cfRule>
    <cfRule type="cellIs" dxfId="133" priority="207" operator="equal">
      <formula>"異常"</formula>
    </cfRule>
    <cfRule type="cellIs" dxfId="132" priority="208" operator="equal">
      <formula>"合格"</formula>
    </cfRule>
  </conditionalFormatting>
  <conditionalFormatting sqref="L69:L73">
    <cfRule type="cellIs" dxfId="131" priority="193" operator="equal">
      <formula>"待驗"</formula>
    </cfRule>
    <cfRule type="cellIs" dxfId="130" priority="194" operator="equal">
      <formula>"特採"</formula>
    </cfRule>
    <cfRule type="cellIs" dxfId="129" priority="195" operator="equal">
      <formula>"異常"</formula>
    </cfRule>
    <cfRule type="cellIs" dxfId="128" priority="196" operator="equal">
      <formula>"合格"</formula>
    </cfRule>
  </conditionalFormatting>
  <conditionalFormatting sqref="L39">
    <cfRule type="cellIs" dxfId="127" priority="129" operator="equal">
      <formula>"待驗"</formula>
    </cfRule>
    <cfRule type="cellIs" dxfId="126" priority="130" operator="equal">
      <formula>"特採"</formula>
    </cfRule>
    <cfRule type="cellIs" dxfId="125" priority="131" operator="equal">
      <formula>"異常"</formula>
    </cfRule>
    <cfRule type="cellIs" dxfId="124" priority="132" operator="equal">
      <formula>"合格"</formula>
    </cfRule>
  </conditionalFormatting>
  <conditionalFormatting sqref="P39 S39">
    <cfRule type="cellIs" dxfId="123" priority="125" operator="equal">
      <formula>"手動"</formula>
    </cfRule>
    <cfRule type="cellIs" dxfId="122" priority="126" operator="equal">
      <formula>"特採"</formula>
    </cfRule>
    <cfRule type="cellIs" dxfId="121" priority="127" operator="equal">
      <formula>"異常"</formula>
    </cfRule>
    <cfRule type="cellIs" dxfId="120" priority="128" operator="equal">
      <formula>"合格"</formula>
    </cfRule>
  </conditionalFormatting>
  <conditionalFormatting sqref="L41">
    <cfRule type="cellIs" dxfId="119" priority="121" operator="equal">
      <formula>"待驗"</formula>
    </cfRule>
    <cfRule type="cellIs" dxfId="118" priority="122" operator="equal">
      <formula>"特採"</formula>
    </cfRule>
    <cfRule type="cellIs" dxfId="117" priority="123" operator="equal">
      <formula>"異常"</formula>
    </cfRule>
    <cfRule type="cellIs" dxfId="116" priority="124" operator="equal">
      <formula>"合格"</formula>
    </cfRule>
  </conditionalFormatting>
  <conditionalFormatting sqref="P41 S41">
    <cfRule type="cellIs" dxfId="115" priority="117" operator="equal">
      <formula>"手動"</formula>
    </cfRule>
    <cfRule type="cellIs" dxfId="114" priority="118" operator="equal">
      <formula>"特採"</formula>
    </cfRule>
    <cfRule type="cellIs" dxfId="113" priority="119" operator="equal">
      <formula>"異常"</formula>
    </cfRule>
    <cfRule type="cellIs" dxfId="112" priority="120" operator="equal">
      <formula>"合格"</formula>
    </cfRule>
  </conditionalFormatting>
  <conditionalFormatting sqref="L30">
    <cfRule type="cellIs" dxfId="111" priority="113" operator="equal">
      <formula>"待驗"</formula>
    </cfRule>
    <cfRule type="cellIs" dxfId="110" priority="114" operator="equal">
      <formula>"特採"</formula>
    </cfRule>
    <cfRule type="cellIs" dxfId="109" priority="115" operator="equal">
      <formula>"異常"</formula>
    </cfRule>
    <cfRule type="cellIs" dxfId="108" priority="116" operator="equal">
      <formula>"合格"</formula>
    </cfRule>
  </conditionalFormatting>
  <conditionalFormatting sqref="P30 S30:S31">
    <cfRule type="cellIs" dxfId="107" priority="109" operator="equal">
      <formula>"手動"</formula>
    </cfRule>
    <cfRule type="cellIs" dxfId="106" priority="110" operator="equal">
      <formula>"特採"</formula>
    </cfRule>
    <cfRule type="cellIs" dxfId="105" priority="111" operator="equal">
      <formula>"異常"</formula>
    </cfRule>
    <cfRule type="cellIs" dxfId="104" priority="112" operator="equal">
      <formula>"合格"</formula>
    </cfRule>
  </conditionalFormatting>
  <conditionalFormatting sqref="L31">
    <cfRule type="cellIs" dxfId="103" priority="105" operator="equal">
      <formula>"待驗"</formula>
    </cfRule>
    <cfRule type="cellIs" dxfId="102" priority="106" operator="equal">
      <formula>"特採"</formula>
    </cfRule>
    <cfRule type="cellIs" dxfId="101" priority="107" operator="equal">
      <formula>"異常"</formula>
    </cfRule>
    <cfRule type="cellIs" dxfId="100" priority="108" operator="equal">
      <formula>"合格"</formula>
    </cfRule>
  </conditionalFormatting>
  <conditionalFormatting sqref="P31">
    <cfRule type="cellIs" dxfId="99" priority="101" operator="equal">
      <formula>"手動"</formula>
    </cfRule>
    <cfRule type="cellIs" dxfId="98" priority="102" operator="equal">
      <formula>"特採"</formula>
    </cfRule>
    <cfRule type="cellIs" dxfId="97" priority="103" operator="equal">
      <formula>"異常"</formula>
    </cfRule>
    <cfRule type="cellIs" dxfId="96" priority="104" operator="equal">
      <formula>"合格"</formula>
    </cfRule>
  </conditionalFormatting>
  <conditionalFormatting sqref="L37">
    <cfRule type="cellIs" dxfId="95" priority="97" operator="equal">
      <formula>"待驗"</formula>
    </cfRule>
    <cfRule type="cellIs" dxfId="94" priority="98" operator="equal">
      <formula>"特採"</formula>
    </cfRule>
    <cfRule type="cellIs" dxfId="93" priority="99" operator="equal">
      <formula>"異常"</formula>
    </cfRule>
    <cfRule type="cellIs" dxfId="92" priority="100" operator="equal">
      <formula>"合格"</formula>
    </cfRule>
  </conditionalFormatting>
  <conditionalFormatting sqref="P37">
    <cfRule type="cellIs" dxfId="91" priority="93" operator="equal">
      <formula>"手動"</formula>
    </cfRule>
    <cfRule type="cellIs" dxfId="90" priority="94" operator="equal">
      <formula>"特採"</formula>
    </cfRule>
    <cfRule type="cellIs" dxfId="89" priority="95" operator="equal">
      <formula>"異常"</formula>
    </cfRule>
    <cfRule type="cellIs" dxfId="88" priority="96" operator="equal">
      <formula>"合格"</formula>
    </cfRule>
  </conditionalFormatting>
  <conditionalFormatting sqref="L36">
    <cfRule type="cellIs" dxfId="87" priority="89" operator="equal">
      <formula>"待驗"</formula>
    </cfRule>
    <cfRule type="cellIs" dxfId="86" priority="90" operator="equal">
      <formula>"特採"</formula>
    </cfRule>
    <cfRule type="cellIs" dxfId="85" priority="91" operator="equal">
      <formula>"異常"</formula>
    </cfRule>
    <cfRule type="cellIs" dxfId="84" priority="92" operator="equal">
      <formula>"合格"</formula>
    </cfRule>
  </conditionalFormatting>
  <conditionalFormatting sqref="P36">
    <cfRule type="cellIs" dxfId="83" priority="85" operator="equal">
      <formula>"手動"</formula>
    </cfRule>
    <cfRule type="cellIs" dxfId="82" priority="86" operator="equal">
      <formula>"特採"</formula>
    </cfRule>
    <cfRule type="cellIs" dxfId="81" priority="87" operator="equal">
      <formula>"異常"</formula>
    </cfRule>
    <cfRule type="cellIs" dxfId="80" priority="88" operator="equal">
      <formula>"合格"</formula>
    </cfRule>
  </conditionalFormatting>
  <conditionalFormatting sqref="S36:S37">
    <cfRule type="cellIs" dxfId="79" priority="81" operator="equal">
      <formula>"手動"</formula>
    </cfRule>
    <cfRule type="cellIs" dxfId="78" priority="82" operator="equal">
      <formula>"特採"</formula>
    </cfRule>
    <cfRule type="cellIs" dxfId="77" priority="83" operator="equal">
      <formula>"異常"</formula>
    </cfRule>
    <cfRule type="cellIs" dxfId="76" priority="84" operator="equal">
      <formula>"合格"</formula>
    </cfRule>
  </conditionalFormatting>
  <conditionalFormatting sqref="L45:L47">
    <cfRule type="cellIs" dxfId="75" priority="77" operator="equal">
      <formula>"待驗"</formula>
    </cfRule>
    <cfRule type="cellIs" dxfId="74" priority="78" operator="equal">
      <formula>"特採"</formula>
    </cfRule>
    <cfRule type="cellIs" dxfId="73" priority="79" operator="equal">
      <formula>"異常"</formula>
    </cfRule>
    <cfRule type="cellIs" dxfId="72" priority="80" operator="equal">
      <formula>"合格"</formula>
    </cfRule>
  </conditionalFormatting>
  <conditionalFormatting sqref="S45:S47">
    <cfRule type="cellIs" dxfId="71" priority="69" operator="equal">
      <formula>"手動"</formula>
    </cfRule>
    <cfRule type="cellIs" dxfId="70" priority="70" operator="equal">
      <formula>"特採"</formula>
    </cfRule>
    <cfRule type="cellIs" dxfId="69" priority="71" operator="equal">
      <formula>"異常"</formula>
    </cfRule>
    <cfRule type="cellIs" dxfId="68" priority="72" operator="equal">
      <formula>"合格"</formula>
    </cfRule>
  </conditionalFormatting>
  <conditionalFormatting sqref="Q29 Q26:Q27 Q32:Q35">
    <cfRule type="cellIs" dxfId="67" priority="65" operator="equal">
      <formula>"手動"</formula>
    </cfRule>
    <cfRule type="cellIs" dxfId="66" priority="66" operator="equal">
      <formula>"特採"</formula>
    </cfRule>
    <cfRule type="cellIs" dxfId="65" priority="67" operator="equal">
      <formula>"異常"</formula>
    </cfRule>
    <cfRule type="cellIs" dxfId="64" priority="68" operator="equal">
      <formula>"合格"</formula>
    </cfRule>
  </conditionalFormatting>
  <conditionalFormatting sqref="Q28">
    <cfRule type="cellIs" dxfId="63" priority="61" operator="equal">
      <formula>"手動"</formula>
    </cfRule>
    <cfRule type="cellIs" dxfId="62" priority="62" operator="equal">
      <formula>"特採"</formula>
    </cfRule>
    <cfRule type="cellIs" dxfId="61" priority="63" operator="equal">
      <formula>"異常"</formula>
    </cfRule>
    <cfRule type="cellIs" dxfId="60" priority="64" operator="equal">
      <formula>"合格"</formula>
    </cfRule>
  </conditionalFormatting>
  <conditionalFormatting sqref="Q30">
    <cfRule type="cellIs" dxfId="59" priority="57" operator="equal">
      <formula>"手動"</formula>
    </cfRule>
    <cfRule type="cellIs" dxfId="58" priority="58" operator="equal">
      <formula>"特採"</formula>
    </cfRule>
    <cfRule type="cellIs" dxfId="57" priority="59" operator="equal">
      <formula>"異常"</formula>
    </cfRule>
    <cfRule type="cellIs" dxfId="56" priority="60" operator="equal">
      <formula>"合格"</formula>
    </cfRule>
  </conditionalFormatting>
  <conditionalFormatting sqref="Q31">
    <cfRule type="cellIs" dxfId="55" priority="53" operator="equal">
      <formula>"手動"</formula>
    </cfRule>
    <cfRule type="cellIs" dxfId="54" priority="54" operator="equal">
      <formula>"特採"</formula>
    </cfRule>
    <cfRule type="cellIs" dxfId="53" priority="55" operator="equal">
      <formula>"異常"</formula>
    </cfRule>
    <cfRule type="cellIs" dxfId="52" priority="56" operator="equal">
      <formula>"合格"</formula>
    </cfRule>
  </conditionalFormatting>
  <conditionalFormatting sqref="Q36">
    <cfRule type="cellIs" dxfId="51" priority="49" operator="equal">
      <formula>"手動"</formula>
    </cfRule>
    <cfRule type="cellIs" dxfId="50" priority="50" operator="equal">
      <formula>"特採"</formula>
    </cfRule>
    <cfRule type="cellIs" dxfId="49" priority="51" operator="equal">
      <formula>"異常"</formula>
    </cfRule>
    <cfRule type="cellIs" dxfId="48" priority="52" operator="equal">
      <formula>"合格"</formula>
    </cfRule>
  </conditionalFormatting>
  <conditionalFormatting sqref="Q45:Q47">
    <cfRule type="cellIs" dxfId="47" priority="45" operator="equal">
      <formula>"手動"</formula>
    </cfRule>
    <cfRule type="cellIs" dxfId="46" priority="46" operator="equal">
      <formula>"特採"</formula>
    </cfRule>
    <cfRule type="cellIs" dxfId="45" priority="47" operator="equal">
      <formula>"異常"</formula>
    </cfRule>
    <cfRule type="cellIs" dxfId="44" priority="48" operator="equal">
      <formula>"合格"</formula>
    </cfRule>
  </conditionalFormatting>
  <conditionalFormatting sqref="S27:S29">
    <cfRule type="cellIs" dxfId="43" priority="41" operator="equal">
      <formula>"手動"</formula>
    </cfRule>
    <cfRule type="cellIs" dxfId="42" priority="42" operator="equal">
      <formula>"特採"</formula>
    </cfRule>
    <cfRule type="cellIs" dxfId="41" priority="43" operator="equal">
      <formula>"異常"</formula>
    </cfRule>
    <cfRule type="cellIs" dxfId="40" priority="44" operator="equal">
      <formula>"合格"</formula>
    </cfRule>
  </conditionalFormatting>
  <conditionalFormatting sqref="S50:S51">
    <cfRule type="cellIs" dxfId="39" priority="37" operator="equal">
      <formula>"手動"</formula>
    </cfRule>
    <cfRule type="cellIs" dxfId="38" priority="38" operator="equal">
      <formula>"特採"</formula>
    </cfRule>
    <cfRule type="cellIs" dxfId="37" priority="39" operator="equal">
      <formula>"異常"</formula>
    </cfRule>
    <cfRule type="cellIs" dxfId="36" priority="40" operator="equal">
      <formula>"合格"</formula>
    </cfRule>
  </conditionalFormatting>
  <conditionalFormatting sqref="S56">
    <cfRule type="cellIs" dxfId="35" priority="33" operator="equal">
      <formula>"手動"</formula>
    </cfRule>
    <cfRule type="cellIs" dxfId="34" priority="34" operator="equal">
      <formula>"特採"</formula>
    </cfRule>
    <cfRule type="cellIs" dxfId="33" priority="35" operator="equal">
      <formula>"異常"</formula>
    </cfRule>
    <cfRule type="cellIs" dxfId="32" priority="36" operator="equal">
      <formula>"合格"</formula>
    </cfRule>
  </conditionalFormatting>
  <conditionalFormatting sqref="S57">
    <cfRule type="cellIs" dxfId="31" priority="29" operator="equal">
      <formula>"手動"</formula>
    </cfRule>
    <cfRule type="cellIs" dxfId="30" priority="30" operator="equal">
      <formula>"特採"</formula>
    </cfRule>
    <cfRule type="cellIs" dxfId="29" priority="31" operator="equal">
      <formula>"異常"</formula>
    </cfRule>
    <cfRule type="cellIs" dxfId="28" priority="32" operator="equal">
      <formula>"合格"</formula>
    </cfRule>
  </conditionalFormatting>
  <conditionalFormatting sqref="S58">
    <cfRule type="cellIs" dxfId="27" priority="25" operator="equal">
      <formula>"手動"</formula>
    </cfRule>
    <cfRule type="cellIs" dxfId="26" priority="26" operator="equal">
      <formula>"特採"</formula>
    </cfRule>
    <cfRule type="cellIs" dxfId="25" priority="27" operator="equal">
      <formula>"異常"</formula>
    </cfRule>
    <cfRule type="cellIs" dxfId="24" priority="28" operator="equal">
      <formula>"合格"</formula>
    </cfRule>
  </conditionalFormatting>
  <conditionalFormatting sqref="S59">
    <cfRule type="cellIs" dxfId="23" priority="21" operator="equal">
      <formula>"手動"</formula>
    </cfRule>
    <cfRule type="cellIs" dxfId="22" priority="22" operator="equal">
      <formula>"特採"</formula>
    </cfRule>
    <cfRule type="cellIs" dxfId="21" priority="23" operator="equal">
      <formula>"異常"</formula>
    </cfRule>
    <cfRule type="cellIs" dxfId="20" priority="24" operator="equal">
      <formula>"合格"</formula>
    </cfRule>
  </conditionalFormatting>
  <conditionalFormatting sqref="S60:S61">
    <cfRule type="cellIs" dxfId="19" priority="17" operator="equal">
      <formula>"手動"</formula>
    </cfRule>
    <cfRule type="cellIs" dxfId="18" priority="18" operator="equal">
      <formula>"特採"</formula>
    </cfRule>
    <cfRule type="cellIs" dxfId="17" priority="19" operator="equal">
      <formula>"異常"</formula>
    </cfRule>
    <cfRule type="cellIs" dxfId="16" priority="20" operator="equal">
      <formula>"合格"</formula>
    </cfRule>
  </conditionalFormatting>
  <conditionalFormatting sqref="S64:S69">
    <cfRule type="cellIs" dxfId="15" priority="13" operator="equal">
      <formula>"手動"</formula>
    </cfRule>
    <cfRule type="cellIs" dxfId="14" priority="14" operator="equal">
      <formula>"特採"</formula>
    </cfRule>
    <cfRule type="cellIs" dxfId="13" priority="15" operator="equal">
      <formula>"異常"</formula>
    </cfRule>
    <cfRule type="cellIs" dxfId="12" priority="16" operator="equal">
      <formula>"合格"</formula>
    </cfRule>
  </conditionalFormatting>
  <conditionalFormatting sqref="S52:S55">
    <cfRule type="cellIs" dxfId="11" priority="9" operator="equal">
      <formula>"手動"</formula>
    </cfRule>
    <cfRule type="cellIs" dxfId="10" priority="10" operator="equal">
      <formula>"特採"</formula>
    </cfRule>
    <cfRule type="cellIs" dxfId="9" priority="11" operator="equal">
      <formula>"異常"</formula>
    </cfRule>
    <cfRule type="cellIs" dxfId="8" priority="12" operator="equal">
      <formula>"合格"</formula>
    </cfRule>
  </conditionalFormatting>
  <conditionalFormatting sqref="S70:S73">
    <cfRule type="cellIs" dxfId="7" priority="5" operator="equal">
      <formula>"手動"</formula>
    </cfRule>
    <cfRule type="cellIs" dxfId="6" priority="6" operator="equal">
      <formula>"特採"</formula>
    </cfRule>
    <cfRule type="cellIs" dxfId="5" priority="7" operator="equal">
      <formula>"異常"</formula>
    </cfRule>
    <cfRule type="cellIs" dxfId="4" priority="8" operator="equal">
      <formula>"合格"</formula>
    </cfRule>
  </conditionalFormatting>
  <conditionalFormatting sqref="S75:S78">
    <cfRule type="cellIs" dxfId="3" priority="1" operator="equal">
      <formula>"手動"</formula>
    </cfRule>
    <cfRule type="cellIs" dxfId="2" priority="2" operator="equal">
      <formula>"特採"</formula>
    </cfRule>
    <cfRule type="cellIs" dxfId="1" priority="3" operator="equal">
      <formula>"異常"</formula>
    </cfRule>
    <cfRule type="cellIs" dxfId="0" priority="4" operator="equal">
      <formula>"合格"</formula>
    </cfRule>
  </conditionalFormatting>
  <dataValidations count="11">
    <dataValidation type="list" allowBlank="1" showInputMessage="1" showErrorMessage="1" sqref="R80">
      <formula1>$AB$2:$AB$16</formula1>
    </dataValidation>
    <dataValidation type="list" allowBlank="1" showInputMessage="1" showErrorMessage="1" sqref="B17">
      <formula1>$AB$24:$AB$29</formula1>
    </dataValidation>
    <dataValidation type="list" allowBlank="1" showInputMessage="1" showErrorMessage="1" sqref="R79">
      <formula1>$AB$2:$AB$22</formula1>
    </dataValidation>
    <dataValidation type="list" allowBlank="1" showInputMessage="1" showErrorMessage="1" sqref="E14:G14">
      <formula1>$AD$2:$AD$5</formula1>
    </dataValidation>
    <dataValidation type="list" allowBlank="1" showInputMessage="1" showErrorMessage="1" sqref="F15:G22">
      <formula1>$AC$2:$AC$3</formula1>
    </dataValidation>
    <dataValidation type="list" allowBlank="1" showInputMessage="1" showErrorMessage="1" sqref="F23:G24">
      <formula1>$AC$5:$AC$11</formula1>
    </dataValidation>
    <dataValidation type="list" allowBlank="1" showInputMessage="1" showErrorMessage="1" sqref="T45:T46 S26:T44 T48:T61 T64:T78 S45:S78">
      <formula1>$AH$2:$AH$13</formula1>
    </dataValidation>
    <dataValidation type="list" allowBlank="1" showInputMessage="1" showErrorMessage="1" sqref="H71:H78 J26:J69 J71:J78 H26:H47 H49:H69">
      <formula1>$Z$2:$Z$26</formula1>
    </dataValidation>
    <dataValidation type="list" allowBlank="1" showInputMessage="1" showErrorMessage="1" sqref="D26:D78 F26:F78">
      <formula1>$Y$2:$Y$28</formula1>
    </dataValidation>
    <dataValidation type="list" allowBlank="1" showInputMessage="1" showErrorMessage="1" sqref="E13">
      <formula1>$AA$2:$AA$33</formula1>
    </dataValidation>
    <dataValidation type="list" allowBlank="1" showInputMessage="1" showErrorMessage="1" sqref="F13">
      <formula1>$AB$2:$AB$33</formula1>
    </dataValidation>
  </dataValidations>
  <hyperlinks>
    <hyperlink ref="U6" r:id="rId1"/>
  </hyperlinks>
  <printOptions horizontalCentered="1" verticalCentered="1"/>
  <pageMargins left="0.19685039370078741" right="0.19685039370078741" top="0.39370078740157483" bottom="0.39370078740157483" header="0.31496062992125984" footer="0.31496062992125984"/>
  <pageSetup paperSize="9" scale="91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/>
  <dimension ref="A1:L70"/>
  <sheetViews>
    <sheetView zoomScale="85" zoomScaleNormal="85" workbookViewId="0">
      <selection activeCell="B20" sqref="B20"/>
    </sheetView>
  </sheetViews>
  <sheetFormatPr defaultRowHeight="17"/>
  <cols>
    <col min="2" max="2" width="11.36328125" bestFit="1" customWidth="1"/>
    <col min="3" max="3" width="11.90625" bestFit="1" customWidth="1"/>
    <col min="4" max="4" width="9.08984375" bestFit="1" customWidth="1"/>
    <col min="5" max="5" width="10.36328125" bestFit="1" customWidth="1"/>
    <col min="6" max="6" width="6.6328125" bestFit="1" customWidth="1"/>
    <col min="7" max="7" width="8.08984375" bestFit="1" customWidth="1"/>
    <col min="8" max="8" width="9.08984375" bestFit="1" customWidth="1"/>
    <col min="10" max="10" width="9.08984375" bestFit="1" customWidth="1"/>
    <col min="11" max="11" width="7.90625" bestFit="1" customWidth="1"/>
  </cols>
  <sheetData>
    <row r="1" spans="1:12">
      <c r="A1" s="3"/>
      <c r="B1" s="4" t="s">
        <v>4</v>
      </c>
      <c r="C1" s="4" t="s">
        <v>5</v>
      </c>
      <c r="D1" s="4" t="s">
        <v>6</v>
      </c>
      <c r="E1" s="4" t="s">
        <v>7</v>
      </c>
      <c r="F1" s="4" t="s">
        <v>8</v>
      </c>
      <c r="G1" s="4" t="s">
        <v>9</v>
      </c>
      <c r="H1" s="4" t="s">
        <v>10</v>
      </c>
      <c r="I1" s="4" t="s">
        <v>11</v>
      </c>
      <c r="J1" s="4" t="s">
        <v>12</v>
      </c>
      <c r="K1" s="4" t="s">
        <v>13</v>
      </c>
      <c r="L1" s="4"/>
    </row>
    <row r="2" spans="1:12">
      <c r="A2" s="2" t="str">
        <f t="shared" ref="A2:A17" si="0">SUBSTITUTE(SUBSTITUTE(SUBSTITUTE(SUBSTITUTE(SUBSTITUTE(C2,"檢點",""),"[1",""),"Z0",""),"-",""),"原點","")</f>
        <v/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</row>
    <row r="3" spans="1:12">
      <c r="A3" s="2" t="str">
        <f t="shared" si="0"/>
        <v/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2">
      <c r="A4" s="2" t="str">
        <f t="shared" si="0"/>
        <v/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spans="1:12">
      <c r="A5" s="2" t="str">
        <f t="shared" si="0"/>
        <v/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2" t="str">
        <f t="shared" si="0"/>
        <v/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2">
      <c r="A7" s="2" t="str">
        <f t="shared" si="0"/>
        <v/>
      </c>
      <c r="B7" s="1"/>
      <c r="C7" s="1"/>
      <c r="D7" s="1"/>
      <c r="E7" s="1"/>
      <c r="F7" s="1"/>
      <c r="G7" s="1"/>
      <c r="H7" s="1"/>
      <c r="I7" s="1"/>
      <c r="J7" s="1"/>
      <c r="K7" s="1"/>
      <c r="L7" s="1"/>
    </row>
    <row r="8" spans="1:12">
      <c r="A8" s="2" t="str">
        <f t="shared" si="0"/>
        <v/>
      </c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spans="1:12">
      <c r="A9" s="2" t="str">
        <f t="shared" si="0"/>
        <v/>
      </c>
      <c r="B9" s="1"/>
      <c r="C9" s="1"/>
      <c r="D9" s="1"/>
      <c r="E9" s="1"/>
      <c r="F9" s="1"/>
      <c r="G9" s="1"/>
      <c r="H9" s="1"/>
      <c r="I9" s="1"/>
      <c r="J9" s="1"/>
      <c r="K9" s="1"/>
      <c r="L9" s="1"/>
    </row>
    <row r="10" spans="1:12">
      <c r="A10" s="2" t="str">
        <f t="shared" si="0"/>
        <v/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</row>
    <row r="11" spans="1:12">
      <c r="A11" s="2" t="str">
        <f t="shared" si="0"/>
        <v/>
      </c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spans="1:12">
      <c r="A12" s="2" t="str">
        <f t="shared" si="0"/>
        <v/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</row>
    <row r="13" spans="1:12">
      <c r="A13" s="2" t="str">
        <f t="shared" si="0"/>
        <v/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</row>
    <row r="14" spans="1:12">
      <c r="A14" s="2" t="str">
        <f t="shared" si="0"/>
        <v/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</row>
    <row r="15" spans="1:12">
      <c r="A15" s="2" t="str">
        <f t="shared" si="0"/>
        <v/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>
      <c r="A16" s="2" t="str">
        <f t="shared" si="0"/>
        <v/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>
      <c r="A17" s="2" t="str">
        <f t="shared" si="0"/>
        <v/>
      </c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>
      <c r="A18" s="2" t="str">
        <f t="shared" ref="A18:A51" si="1">SUBSTITUTE(SUBSTITUTE(SUBSTITUTE(SUBSTITUTE(SUBSTITUTE(C18,"檢點",""),"[1",""),"Z0",""),"-",""),"原點","")</f>
        <v/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>
      <c r="A19" s="2" t="str">
        <f t="shared" si="1"/>
        <v/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>
      <c r="A20" s="2" t="str">
        <f t="shared" si="1"/>
        <v/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>
      <c r="A21" s="2" t="str">
        <f t="shared" si="1"/>
        <v/>
      </c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>
      <c r="A22" s="2" t="str">
        <f t="shared" si="1"/>
        <v/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>
      <c r="A23" s="2" t="str">
        <f t="shared" si="1"/>
        <v/>
      </c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>
      <c r="A24" s="2" t="str">
        <f t="shared" si="1"/>
        <v/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>
      <c r="A25" s="2" t="str">
        <f t="shared" si="1"/>
        <v/>
      </c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>
      <c r="A26" s="2" t="str">
        <f t="shared" si="1"/>
        <v/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>
      <c r="A27" s="2" t="str">
        <f t="shared" si="1"/>
        <v/>
      </c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>
      <c r="A28" s="2" t="str">
        <f t="shared" si="1"/>
        <v/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>
      <c r="A29" s="2" t="str">
        <f t="shared" si="1"/>
        <v/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>
      <c r="A30" s="2" t="str">
        <f t="shared" si="1"/>
        <v/>
      </c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  <row r="31" spans="1:12">
      <c r="A31" s="2" t="str">
        <f t="shared" si="1"/>
        <v/>
      </c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spans="1:12">
      <c r="A32" s="2" t="str">
        <f t="shared" si="1"/>
        <v/>
      </c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spans="1:12">
      <c r="A33" s="2" t="str">
        <f t="shared" si="1"/>
        <v/>
      </c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spans="1:12">
      <c r="A34" s="2" t="str">
        <f t="shared" si="1"/>
        <v/>
      </c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spans="1:12">
      <c r="A35" s="2" t="str">
        <f t="shared" si="1"/>
        <v/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spans="1:12">
      <c r="A36" s="2" t="str">
        <f t="shared" si="1"/>
        <v/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spans="1:12">
      <c r="A37" s="2" t="str">
        <f t="shared" si="1"/>
        <v/>
      </c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spans="1:12">
      <c r="A38" s="2" t="str">
        <f t="shared" si="1"/>
        <v/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>
      <c r="A39" s="2" t="str">
        <f t="shared" si="1"/>
        <v/>
      </c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spans="1:12">
      <c r="A40" s="2" t="str">
        <f t="shared" si="1"/>
        <v/>
      </c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spans="1:12">
      <c r="A41" s="2" t="str">
        <f t="shared" si="1"/>
        <v/>
      </c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spans="1:12">
      <c r="A42" s="2" t="str">
        <f t="shared" si="1"/>
        <v/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spans="1:12">
      <c r="A43" s="2" t="str">
        <f t="shared" si="1"/>
        <v/>
      </c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spans="1:12">
      <c r="A44" s="2" t="str">
        <f t="shared" si="1"/>
        <v/>
      </c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spans="1:12">
      <c r="A45" s="2" t="str">
        <f t="shared" si="1"/>
        <v/>
      </c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spans="1:12">
      <c r="A46" s="2" t="str">
        <f t="shared" si="1"/>
        <v/>
      </c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spans="1:12">
      <c r="A47" s="2" t="str">
        <f t="shared" si="1"/>
        <v/>
      </c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spans="1:12">
      <c r="A48" s="2" t="str">
        <f t="shared" si="1"/>
        <v/>
      </c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spans="1:12">
      <c r="A49" s="2" t="str">
        <f t="shared" si="1"/>
        <v/>
      </c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spans="1:12">
      <c r="A50" s="2" t="str">
        <f t="shared" si="1"/>
        <v/>
      </c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spans="1:12">
      <c r="A51" s="2" t="str">
        <f t="shared" si="1"/>
        <v/>
      </c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  <row r="52" spans="1:12">
      <c r="A52" s="2" t="str">
        <f t="shared" ref="A52:A70" si="2">SUBSTITUTE(SUBSTITUTE(SUBSTITUTE(SUBSTITUTE(SUBSTITUTE(C52,"檢點",""),"[1",""),"Z0",""),"-",""),"原點","")</f>
        <v/>
      </c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</row>
    <row r="53" spans="1:12">
      <c r="A53" s="2" t="str">
        <f t="shared" si="2"/>
        <v/>
      </c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</row>
    <row r="54" spans="1:12">
      <c r="A54" s="2" t="str">
        <f t="shared" si="2"/>
        <v/>
      </c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</row>
    <row r="55" spans="1:12">
      <c r="A55" s="2" t="str">
        <f t="shared" si="2"/>
        <v/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</row>
    <row r="56" spans="1:12">
      <c r="A56" s="2" t="str">
        <f t="shared" si="2"/>
        <v/>
      </c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</row>
    <row r="57" spans="1:12">
      <c r="A57" s="2" t="str">
        <f t="shared" si="2"/>
        <v/>
      </c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</row>
    <row r="58" spans="1:12">
      <c r="A58" s="2" t="str">
        <f t="shared" si="2"/>
        <v/>
      </c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</row>
    <row r="59" spans="1:12">
      <c r="A59" s="2" t="str">
        <f t="shared" si="2"/>
        <v/>
      </c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</row>
    <row r="60" spans="1:12">
      <c r="A60" s="2" t="str">
        <f t="shared" si="2"/>
        <v/>
      </c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</row>
    <row r="61" spans="1:12">
      <c r="A61" s="2" t="str">
        <f t="shared" si="2"/>
        <v/>
      </c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</row>
    <row r="62" spans="1:12">
      <c r="A62" s="2" t="str">
        <f t="shared" si="2"/>
        <v/>
      </c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</row>
    <row r="63" spans="1:12">
      <c r="A63" s="2" t="str">
        <f t="shared" si="2"/>
        <v/>
      </c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</row>
    <row r="64" spans="1:12">
      <c r="A64" s="2" t="str">
        <f t="shared" si="2"/>
        <v/>
      </c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</row>
    <row r="65" spans="1:12">
      <c r="A65" s="2" t="str">
        <f t="shared" si="2"/>
        <v/>
      </c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</row>
    <row r="66" spans="1:12">
      <c r="A66" s="2" t="str">
        <f t="shared" si="2"/>
        <v/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</row>
    <row r="67" spans="1:12">
      <c r="A67" s="2" t="str">
        <f t="shared" si="2"/>
        <v/>
      </c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</row>
    <row r="68" spans="1:12">
      <c r="A68" s="2" t="str">
        <f t="shared" si="2"/>
        <v/>
      </c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</row>
    <row r="69" spans="1:12">
      <c r="A69" s="2" t="str">
        <f t="shared" si="2"/>
        <v/>
      </c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</row>
    <row r="70" spans="1:12">
      <c r="A70" s="2" t="str">
        <f t="shared" si="2"/>
        <v/>
      </c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B2:E14"/>
  <sheetViews>
    <sheetView topLeftCell="A7" workbookViewId="0">
      <selection activeCell="C10" sqref="C10"/>
    </sheetView>
  </sheetViews>
  <sheetFormatPr defaultColWidth="9" defaultRowHeight="17"/>
  <cols>
    <col min="1" max="1" width="3.6328125" style="5" customWidth="1"/>
    <col min="2" max="2" width="5.453125" style="7" bestFit="1" customWidth="1"/>
    <col min="3" max="3" width="57.90625" style="5" customWidth="1"/>
    <col min="4" max="4" width="9.453125" style="7" bestFit="1" customWidth="1"/>
    <col min="5" max="5" width="9" style="7"/>
    <col min="6" max="16384" width="9" style="5"/>
  </cols>
  <sheetData>
    <row r="2" spans="2:5" ht="19.5">
      <c r="B2" s="122" t="s">
        <v>22</v>
      </c>
      <c r="C2" s="122"/>
      <c r="D2" s="122"/>
      <c r="E2" s="122"/>
    </row>
    <row r="3" spans="2:5">
      <c r="B3" s="6" t="s">
        <v>21</v>
      </c>
      <c r="C3" s="6" t="s">
        <v>23</v>
      </c>
      <c r="D3" s="6" t="s">
        <v>24</v>
      </c>
      <c r="E3" s="6" t="s">
        <v>25</v>
      </c>
    </row>
    <row r="4" spans="2:5" ht="34">
      <c r="B4" s="6">
        <v>1</v>
      </c>
      <c r="C4" s="9" t="s">
        <v>27</v>
      </c>
      <c r="D4" s="10">
        <v>44218</v>
      </c>
      <c r="E4" s="6" t="s">
        <v>26</v>
      </c>
    </row>
    <row r="5" spans="2:5" ht="51">
      <c r="B5" s="6">
        <v>2</v>
      </c>
      <c r="C5" s="9" t="s">
        <v>28</v>
      </c>
      <c r="D5" s="10">
        <v>44235</v>
      </c>
      <c r="E5" s="6" t="s">
        <v>26</v>
      </c>
    </row>
    <row r="6" spans="2:5" ht="34">
      <c r="B6" s="6">
        <v>3</v>
      </c>
      <c r="C6" s="9" t="s">
        <v>29</v>
      </c>
      <c r="D6" s="10">
        <v>44245</v>
      </c>
      <c r="E6" s="6" t="s">
        <v>26</v>
      </c>
    </row>
    <row r="7" spans="2:5" ht="119">
      <c r="B7" s="6">
        <v>4</v>
      </c>
      <c r="C7" s="9" t="s">
        <v>30</v>
      </c>
      <c r="D7" s="10">
        <v>44274</v>
      </c>
      <c r="E7" s="6" t="s">
        <v>26</v>
      </c>
    </row>
    <row r="8" spans="2:5" ht="187">
      <c r="B8" s="6">
        <v>5</v>
      </c>
      <c r="C8" s="9" t="s">
        <v>37</v>
      </c>
      <c r="D8" s="10">
        <v>44771</v>
      </c>
      <c r="E8" s="6" t="s">
        <v>26</v>
      </c>
    </row>
    <row r="9" spans="2:5" ht="85">
      <c r="B9" s="6">
        <v>6</v>
      </c>
      <c r="C9" s="9" t="s">
        <v>55</v>
      </c>
      <c r="D9" s="10">
        <v>44802</v>
      </c>
      <c r="E9" s="6" t="s">
        <v>26</v>
      </c>
    </row>
    <row r="10" spans="2:5">
      <c r="B10" s="6">
        <v>7</v>
      </c>
      <c r="C10" s="9"/>
      <c r="D10" s="10"/>
      <c r="E10" s="6"/>
    </row>
    <row r="11" spans="2:5">
      <c r="B11" s="6">
        <v>8</v>
      </c>
      <c r="C11" s="9"/>
      <c r="D11" s="10"/>
      <c r="E11" s="6"/>
    </row>
    <row r="12" spans="2:5">
      <c r="B12" s="6">
        <v>9</v>
      </c>
      <c r="C12" s="9"/>
      <c r="D12" s="10"/>
      <c r="E12" s="6"/>
    </row>
    <row r="13" spans="2:5">
      <c r="B13" s="6">
        <v>10</v>
      </c>
      <c r="C13" s="9"/>
      <c r="D13" s="10"/>
      <c r="E13" s="6"/>
    </row>
    <row r="14" spans="2:5">
      <c r="C14" s="8"/>
    </row>
  </sheetData>
  <mergeCells count="1">
    <mergeCell ref="B2:E2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C28:D28"/>
  <sheetViews>
    <sheetView workbookViewId="0"/>
  </sheetViews>
  <sheetFormatPr defaultRowHeight="17"/>
  <sheetData>
    <row r="28" spans="3:4">
      <c r="C28" t="s">
        <v>92</v>
      </c>
      <c r="D28" s="48" t="s">
        <v>93</v>
      </c>
    </row>
  </sheetData>
  <phoneticPr fontId="1" type="noConversion"/>
  <hyperlinks>
    <hyperlink ref="D28" location="計測統計!A1" display="計測統計!A1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4</vt:i4>
      </vt:variant>
      <vt:variant>
        <vt:lpstr>已命名的範圍</vt:lpstr>
      </vt:variant>
      <vt:variant>
        <vt:i4>2</vt:i4>
      </vt:variant>
    </vt:vector>
  </HeadingPairs>
  <TitlesOfParts>
    <vt:vector size="6" baseType="lpstr">
      <vt:lpstr>計測統計</vt:lpstr>
      <vt:lpstr>DATA</vt:lpstr>
      <vt:lpstr>更新履歷</vt:lpstr>
      <vt:lpstr>異常圖片</vt:lpstr>
      <vt:lpstr>計測統計!Print_Area</vt:lpstr>
      <vt:lpstr>計測統計!Print_Titles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2026-08-21T11:05:15Z</dcterms:modified>
</cp:coreProperties>
</file>